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ese" sheetId="1" state="visible" r:id="rId1"/>
    <sheet name="Trafic" sheetId="2" state="visible" r:id="rId2"/>
    <sheet name="SEO" sheetId="3" state="visible" r:id="rId3"/>
    <sheet name="Concurrence" sheetId="4" state="visible" r:id="rId4"/>
    <sheet name="Alertes" sheetId="5" state="visible" r:id="rId5"/>
  </sheets>
  <definedNames/>
  <calcPr calcId="124519" fullCalcOnLoad="1"/>
</workbook>
</file>

<file path=xl/styles.xml><?xml version="1.0" encoding="utf-8"?>
<styleSheet xmlns="http://schemas.openxmlformats.org/spreadsheetml/2006/main">
  <numFmts count="1">
    <numFmt numFmtId="164" formatCode="+0.0%;-0.0%;0.0%"/>
  </numFmts>
  <fonts count="11">
    <font>
      <name val="Calibri"/>
      <family val="2"/>
      <color theme="1"/>
      <sz val="11"/>
      <scheme val="minor"/>
    </font>
    <font>
      <name val="Arial"/>
      <b val="1"/>
      <color rgb="001F3864"/>
      <sz val="13"/>
    </font>
    <font>
      <name val="Arial"/>
      <color rgb="00595959"/>
      <sz val="9"/>
    </font>
    <font>
      <name val="Arial"/>
      <b val="1"/>
      <color rgb="001F3864"/>
      <sz val="11"/>
    </font>
    <font>
      <name val="Arial"/>
      <sz val="10"/>
    </font>
    <font>
      <name val="Arial"/>
      <b val="1"/>
      <color rgb="009C6500"/>
      <sz val="10"/>
    </font>
    <font>
      <name val="Arial"/>
      <b val="1"/>
      <color rgb="00FFFFFF"/>
      <sz val="10"/>
    </font>
    <font>
      <name val="Arial"/>
      <color rgb="007F7F7F"/>
      <sz val="9"/>
    </font>
    <font>
      <name val="Arial"/>
      <b val="1"/>
      <color rgb="009C0006"/>
      <sz val="10"/>
    </font>
    <font>
      <name val="Arial"/>
      <b val="1"/>
      <color rgb="00006100"/>
      <sz val="10"/>
    </font>
    <font>
      <name val="Arial"/>
      <b val="1"/>
      <sz val="10"/>
    </font>
  </fonts>
  <fills count="4">
    <fill>
      <patternFill/>
    </fill>
    <fill>
      <patternFill patternType="gray125"/>
    </fill>
    <fill>
      <patternFill patternType="solid">
        <fgColor rgb="00D9E2F3"/>
      </patternFill>
    </fill>
    <fill>
      <patternFill patternType="solid">
        <fgColor rgb="001F3864"/>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applyAlignment="1" pivotButton="0" quotePrefix="0" xfId="0">
      <alignment vertical="top" wrapText="1"/>
    </xf>
    <xf numFmtId="0" fontId="0" fillId="2" borderId="0" pivotButton="0" quotePrefix="0" xfId="0"/>
    <xf numFmtId="0" fontId="5" fillId="0" borderId="1" applyAlignment="1" pivotButton="0" quotePrefix="0" xfId="0">
      <alignment vertical="top" wrapText="1"/>
    </xf>
    <xf numFmtId="0" fontId="6" fillId="3" borderId="1" applyAlignment="1" pivotButton="0" quotePrefix="0" xfId="0">
      <alignment horizontal="center" vertical="center"/>
    </xf>
    <xf numFmtId="0" fontId="4" fillId="0" borderId="1" pivotButton="0" quotePrefix="0" xfId="0"/>
    <xf numFmtId="0" fontId="7" fillId="0" borderId="1" pivotButton="0" quotePrefix="0" xfId="0"/>
    <xf numFmtId="0" fontId="7" fillId="0" borderId="1" applyAlignment="1" pivotButton="0" quotePrefix="0" xfId="0">
      <alignment vertical="top" wrapText="1"/>
    </xf>
    <xf numFmtId="0" fontId="8" fillId="0" borderId="1" applyAlignment="1" pivotButton="0" quotePrefix="0" xfId="0">
      <alignment vertical="top" wrapText="1"/>
    </xf>
    <xf numFmtId="164" fontId="4" fillId="0" borderId="1" pivotButton="0" quotePrefix="0" xfId="0"/>
    <xf numFmtId="0" fontId="4" fillId="0" borderId="1" applyAlignment="1" pivotButton="0" quotePrefix="0" xfId="0">
      <alignment vertical="top" wrapText="1"/>
    </xf>
    <xf numFmtId="0" fontId="9" fillId="0" borderId="1" applyAlignment="1" pivotButton="0" quotePrefix="0" xfId="0">
      <alignment vertical="top" wrapText="1"/>
    </xf>
    <xf numFmtId="0" fontId="9" fillId="0" borderId="1" pivotButton="0" quotePrefix="0" xfId="0"/>
    <xf numFmtId="0" fontId="5" fillId="0" borderId="1" pivotButton="0" quotePrefix="0" xfId="0"/>
    <xf numFmtId="0" fontId="10" fillId="0" borderId="1" pivotButton="0" quotePrefix="0" xfId="0"/>
    <xf numFmtId="0" fontId="8"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pane ySplit="3" topLeftCell="A4" activePane="bottomLeft" state="frozen"/>
      <selection pane="bottomLeft" activeCell="A1" sqref="A1"/>
    </sheetView>
  </sheetViews>
  <sheetFormatPr baseColWidth="8" defaultRowHeight="15"/>
  <cols>
    <col width="130" customWidth="1" min="1" max="1"/>
  </cols>
  <sheetData>
    <row r="1">
      <c r="A1" s="1" t="inlineStr">
        <is>
          <t>ScopIOM — Rapport mensuel — Synthese</t>
        </is>
      </c>
    </row>
    <row r="2">
      <c r="A2" s="2" t="inlineStr">
        <is>
          <t>Juin 2026 (01/06-30/06), compare a mai 2026 et, si l'historique le permet, a juin 2025 | Genere le 18/07/2026</t>
        </is>
      </c>
    </row>
    <row r="4">
      <c r="A4" s="3" t="inlineStr">
        <is>
          <t>Faits marquants du mois</t>
        </is>
      </c>
    </row>
    <row r="5" ht="42" customHeight="1">
      <c r="A5" s="4" t="inlineStr">
        <is>
          <t>1. GA4 (propriete "ScopIOM", properties/540680472) n'a ete cree que le 08/06/2026 : juin 2026 n'est couvert qu'a ~23 jours sur 30, et aucune comparaison fiable a mai 2026 ni a juin 2025 n'est possible faute d'historique (donnees inexistantes avant creation de la propriete).</t>
        </is>
      </c>
    </row>
    <row r="6" ht="42" customHeight="1">
      <c r="A6" s="4" t="inlineStr">
        <is>
          <t>2. Search Console pour scopiom.com affiche 0 clic et 0 impression sur l'integralite de juin 2026 (verifie jour par jour) : la collecte de donnees reelle ne demarre que le 08/07/2026, soit apres la fin du mois couvert par ce rapport. Aucun indicateur SEO Search Console n'est donc disponible pour juin.</t>
        </is>
      </c>
    </row>
    <row r="7" ht="42" customHeight="1">
      <c r="A7" s="4" t="inlineStr">
        <is>
          <t>3. Rapport de force confirme en direct sur "output management system" (SERP France, requete Semrush du 18/07/2026) : Sefas Innovation occupe la position 1, SEAL Systems recule en position 2, mpitech.com (le site corporate, pas scopiom.com) est en position 7. scopiom.com reste absent du top 20 et n'a toujours aucun mot-cle organique dans la base Semrush FR, sur l'integralite de l'historique disponible (avril 2025 a juin 2026).</t>
        </is>
      </c>
    </row>
    <row r="8" ht="42" customHeight="1">
      <c r="A8" s="4" t="inlineStr">
        <is>
          <t>4. Bonne nouvelle sur les priorites editoriales (CLAUDE.md S5.2) : deux articles listes comme "en attente de redaction" sont en realite deja publies et visites en juin/juillet — "Migration SAP S/4HANA et output management" (45 pages vues) et "Failover imprimante / haute disponibilite" (38 pages vues). CLAUDE.md etait obsolete sur ce point ; mis a jour ci-dessous et dans le depot.</t>
        </is>
      </c>
    </row>
    <row r="9" ht="42" customHeight="1">
      <c r="A9" s="4" t="inlineStr">
        <is>
          <t>5. Veille SEAL Systems : 4 articles publies en juin 2026 (01/06, 08/06, 15/06, 29/06), rythme bimensuel confirme et inchange. Aucun nouvel empietement direct sur les priorites ScopIOM restantes n'a ete publie en juin (l'article concurrent chevauchant la priorite S/4HANA date du 13/07, deja connu et journalise le 17/07).</t>
        </is>
      </c>
    </row>
    <row r="10" ht="42" customHeight="1">
      <c r="A10" s="4" t="inlineStr">
        <is>
          <t>6. La campagne Semrush Position Tracking a 34 mots-cles (CLAUDE.md S5.4) reste non configuree (0 mot-cle dans les deux projets Semrush existants) : les alertes automatiques de mouvement de position restent indisponibles pour un 3e cycle de rapport consecutif.</t>
        </is>
      </c>
    </row>
    <row r="11" ht="42" customHeight="1">
      <c r="A11" s="4" t="inlineStr">
        <is>
          <t>7. Limite technique de cette execution : la verification automatique des formules (recalcul LibreOffice) a echoue dans cet environnement cloud (processus bloque indefiniment, y compris sur un fichier test minimal). Les formules restent standard et se calculeront normalement a l'ouverture du fichier — voir onglet Alertes pour le detail.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2"/>
  <sheetViews>
    <sheetView workbookViewId="0">
      <pane ySplit="7" topLeftCell="A8" activePane="bottomLeft" state="frozen"/>
      <selection pane="bottomLeft" activeCell="A1" sqref="A1"/>
    </sheetView>
  </sheetViews>
  <sheetFormatPr baseColWidth="8" defaultRowHeight="15"/>
  <cols>
    <col width="58" customWidth="1" min="1" max="1"/>
    <col width="24" customWidth="1" min="2" max="2"/>
    <col width="30" customWidth="1" min="3" max="3"/>
    <col width="30" customWidth="1" min="4" max="4"/>
  </cols>
  <sheetData>
    <row r="1">
      <c r="A1" s="1" t="inlineStr">
        <is>
          <t>ScopIOM — Rapport mensuel — Trafic et audience (GA4)</t>
        </is>
      </c>
    </row>
    <row r="2">
      <c r="A2" s="2" t="inlineStr">
        <is>
          <t>Juin 2026 vs mai 2026 vs juin 2025 | Propriete GA4 "ScopIOM" (properties/540680472)</t>
        </is>
      </c>
    </row>
    <row r="4">
      <c r="A4" s="3" t="inlineStr">
        <is>
          <t>Avertissement sur la periode couverte</t>
        </is>
      </c>
      <c r="B4" s="5" t="n"/>
      <c r="C4" s="5" t="n"/>
      <c r="D4" s="5" t="n"/>
    </row>
    <row r="5" ht="60" customHeight="1">
      <c r="A5" s="6" t="inlineStr">
        <is>
          <t>La propriete GA4 "ScopIOM" a ete creee le 08/06/2026 (confirme via l'API GA4). Aucune donnee n'existe avant cette date : mai 2026 et juin 2025 renvoient 0 ligne (propriete inexistante), pas un trafic nul. Les chiffres de juin 2026 ci-dessous couvrent donc environ 23 jours (08/06-30/06) sur les 30 du mois, et non le mois calendaire complet. A considerer comme un point de depart pour le suivi mensuel, pas comme une base de comparaison MoM/YoY fiable avant le rapport de juillet 2026.</t>
        </is>
      </c>
    </row>
    <row r="7">
      <c r="A7" s="3" t="inlineStr">
        <is>
          <t>Indicateurs cles (volumes)</t>
        </is>
      </c>
      <c r="B7" s="5" t="n"/>
      <c r="C7" s="5" t="n"/>
      <c r="D7" s="5" t="n"/>
    </row>
    <row r="8">
      <c r="A8" s="7" t="inlineStr">
        <is>
          <t>Indicateur</t>
        </is>
      </c>
      <c r="B8" s="7" t="inlineStr">
        <is>
          <t>Mai 2026</t>
        </is>
      </c>
      <c r="C8" s="7" t="inlineStr">
        <is>
          <t>Juin 2026 (partiel, 08/06-30/06)</t>
        </is>
      </c>
      <c r="D8" s="7" t="inlineStr">
        <is>
          <t>Delta</t>
        </is>
      </c>
    </row>
    <row r="9">
      <c r="A9" s="8" t="inlineStr">
        <is>
          <t>Sessions</t>
        </is>
      </c>
      <c r="B9" s="8" t="inlineStr">
        <is>
          <t>n/a (propriete inexistante)</t>
        </is>
      </c>
      <c r="C9" s="8" t="n">
        <v>177</v>
      </c>
      <c r="D9" s="8" t="inlineStr">
        <is>
          <t>n/a (pas de base de comparaison)</t>
        </is>
      </c>
    </row>
    <row r="10">
      <c r="A10" s="8" t="inlineStr">
        <is>
          <t>Utilisateurs actifs</t>
        </is>
      </c>
      <c r="B10" s="8" t="inlineStr">
        <is>
          <t>n/a (propriete inexistante)</t>
        </is>
      </c>
      <c r="C10" s="8" t="n">
        <v>63</v>
      </c>
      <c r="D10" s="8" t="inlineStr">
        <is>
          <t>n/a (pas de base de comparaison)</t>
        </is>
      </c>
    </row>
    <row r="11">
      <c r="A11" s="8" t="inlineStr">
        <is>
          <t>Nouveaux utilisateurs</t>
        </is>
      </c>
      <c r="B11" s="8" t="inlineStr">
        <is>
          <t>n/a (propriete inexistante)</t>
        </is>
      </c>
      <c r="C11" s="8" t="n">
        <v>64</v>
      </c>
      <c r="D11" s="8" t="inlineStr">
        <is>
          <t>n/a (pas de base de comparaison)</t>
        </is>
      </c>
    </row>
    <row r="12">
      <c r="A12" s="8" t="inlineStr">
        <is>
          <t>Pages vues</t>
        </is>
      </c>
      <c r="B12" s="8" t="inlineStr">
        <is>
          <t>n/a (propriete inexistante)</t>
        </is>
      </c>
      <c r="C12" s="8" t="n">
        <v>2383</v>
      </c>
      <c r="D12" s="8" t="inlineStr">
        <is>
          <t>n/a (pas de base de comparaison)</t>
        </is>
      </c>
    </row>
    <row r="13">
      <c r="A13" s="8" t="inlineStr">
        <is>
          <t>Sessions engagees</t>
        </is>
      </c>
      <c r="B13" s="8" t="inlineStr">
        <is>
          <t>n/a (propriete inexistante)</t>
        </is>
      </c>
      <c r="C13" s="8" t="n">
        <v>106</v>
      </c>
      <c r="D13" s="8" t="inlineStr">
        <is>
          <t>n/a (pas de base de comparaison)</t>
        </is>
      </c>
    </row>
    <row r="14">
      <c r="A14" s="8" t="inlineStr">
        <is>
          <t>Duree d'engagement cumulee (secondes)</t>
        </is>
      </c>
      <c r="B14" s="8" t="inlineStr">
        <is>
          <t>n/a (propriete inexistante)</t>
        </is>
      </c>
      <c r="C14" s="8" t="n">
        <v>87030</v>
      </c>
      <c r="D14" s="8" t="inlineStr">
        <is>
          <t>n/a (pas de base de comparaison)</t>
        </is>
      </c>
    </row>
    <row r="16">
      <c r="A16" s="3" t="inlineStr">
        <is>
          <t>Indicateurs cles (taux)</t>
        </is>
      </c>
      <c r="B16" s="5" t="n"/>
      <c r="C16" s="5" t="n"/>
      <c r="D16" s="5" t="n"/>
    </row>
    <row r="17">
      <c r="A17" s="7" t="inlineStr">
        <is>
          <t>Indicateur</t>
        </is>
      </c>
      <c r="B17" s="7" t="inlineStr">
        <is>
          <t>Mai 2026</t>
        </is>
      </c>
      <c r="C17" s="7" t="inlineStr">
        <is>
          <t>Juin 2026</t>
        </is>
      </c>
      <c r="D17" s="7" t="inlineStr">
        <is>
          <t>Delta</t>
        </is>
      </c>
    </row>
    <row r="18">
      <c r="A18" s="8" t="inlineStr">
        <is>
          <t>Taux d'engagement</t>
        </is>
      </c>
      <c r="B18" s="8" t="inlineStr">
        <is>
          <t>n/a</t>
        </is>
      </c>
      <c r="C18" s="8" t="n">
        <v>0.5988700564971752</v>
      </c>
      <c r="D18" s="8" t="inlineStr">
        <is>
          <t>n/a</t>
        </is>
      </c>
    </row>
    <row r="19">
      <c r="A19" s="8" t="inlineStr">
        <is>
          <t>Taux de rebond</t>
        </is>
      </c>
      <c r="B19" s="8" t="inlineStr">
        <is>
          <t>n/a</t>
        </is>
      </c>
      <c r="C19" s="8" t="n">
        <v>0.4011299435028249</v>
      </c>
      <c r="D19" s="8" t="inlineStr">
        <is>
          <t>n/a</t>
        </is>
      </c>
    </row>
    <row r="20">
      <c r="A20" s="9" t="inlineStr">
        <is>
          <t>Taux de rebond et taux d'engagement sont complementaires (somme = 100%).</t>
        </is>
      </c>
    </row>
    <row r="22">
      <c r="A22" s="3" t="inlineStr">
        <is>
          <t>Nouveaux vs recurrents — juin 2026</t>
        </is>
      </c>
      <c r="B22" s="5" t="n"/>
      <c r="C22" s="5" t="n"/>
    </row>
    <row r="23">
      <c r="A23" s="7" t="inlineStr">
        <is>
          <t>Segment</t>
        </is>
      </c>
      <c r="B23" s="7" t="inlineStr">
        <is>
          <t>Sessions</t>
        </is>
      </c>
      <c r="C23" s="7" t="inlineStr">
        <is>
          <t>Utilisateurs</t>
        </is>
      </c>
    </row>
    <row r="24">
      <c r="A24" s="8" t="inlineStr">
        <is>
          <t>Nouveaux</t>
        </is>
      </c>
      <c r="B24" s="8" t="n">
        <v>63</v>
      </c>
      <c r="C24" s="8" t="n">
        <v>63</v>
      </c>
    </row>
    <row r="25">
      <c r="A25" s="8" t="inlineStr">
        <is>
          <t>Recurrents</t>
        </is>
      </c>
      <c r="B25" s="8" t="n">
        <v>108</v>
      </c>
      <c r="C25" s="8" t="n">
        <v>14</v>
      </c>
    </row>
    <row r="26" ht="28" customHeight="1">
      <c r="A26" s="10" t="inlineStr">
        <is>
          <t>14 utilisateurs recurrents generent 108 sessions (7,7 sessions/utilisateur en moyenne) : a rapprocher du canal Direct tres majoritaire, plausiblement du trafic interne/equipe sur un site tres recent plutot que de la fidelisation d'une audience externe.</t>
        </is>
      </c>
    </row>
    <row r="28">
      <c r="A28" s="3" t="inlineStr">
        <is>
          <t>Top 10 pages — juin 2026 (01/06-30/06)</t>
        </is>
      </c>
      <c r="B28" s="5" t="n"/>
      <c r="C28" s="5" t="n"/>
    </row>
    <row r="29">
      <c r="A29" s="7" t="inlineStr">
        <is>
          <t>Page (pagePath)</t>
        </is>
      </c>
      <c r="B29" s="7" t="inlineStr">
        <is>
          <t>Pages vues</t>
        </is>
      </c>
      <c r="C29" s="7" t="inlineStr">
        <is>
          <t>Sessions</t>
        </is>
      </c>
    </row>
    <row r="30">
      <c r="A30" s="8" t="inlineStr">
        <is>
          <t>/</t>
        </is>
      </c>
      <c r="B30" s="8" t="n">
        <v>370</v>
      </c>
      <c r="C30" s="8" t="n">
        <v>98</v>
      </c>
    </row>
    <row r="31">
      <c r="A31" s="8" t="inlineStr">
        <is>
          <t>/fonctionnalites-gestion-impressions-editique/</t>
        </is>
      </c>
      <c r="B31" s="8" t="n">
        <v>321</v>
      </c>
      <c r="C31" s="8" t="n">
        <v>56</v>
      </c>
    </row>
    <row r="32">
      <c r="A32" s="8" t="inlineStr">
        <is>
          <t>/solution-output-management/</t>
        </is>
      </c>
      <c r="B32" s="8" t="n">
        <v>155</v>
      </c>
      <c r="C32" s="8" t="n">
        <v>34</v>
      </c>
    </row>
    <row r="33">
      <c r="A33" s="8" t="inlineStr">
        <is>
          <t>/scopiom-v6/</t>
        </is>
      </c>
      <c r="B33" s="8" t="n">
        <v>139</v>
      </c>
      <c r="C33" s="8" t="n">
        <v>33</v>
      </c>
    </row>
    <row r="34">
      <c r="A34" s="8" t="inlineStr">
        <is>
          <t>/solution-output-management/vue-densemble-plateforme/</t>
        </is>
      </c>
      <c r="B34" s="8" t="n">
        <v>127</v>
      </c>
      <c r="C34" s="8" t="n">
        <v>42</v>
      </c>
    </row>
    <row r="35">
      <c r="A35" s="8" t="inlineStr">
        <is>
          <t>/maintenance/</t>
        </is>
      </c>
      <c r="B35" s="8" t="n">
        <v>108</v>
      </c>
      <c r="C35" s="8" t="n">
        <v>42</v>
      </c>
    </row>
    <row r="36">
      <c r="A36" s="8" t="inlineStr">
        <is>
          <t>/fonctionnalites-gestion-impressions-editique/ordonnancement-automatisation-des-flux/</t>
        </is>
      </c>
      <c r="B36" s="8" t="n">
        <v>94</v>
      </c>
      <c r="C36" s="8" t="n">
        <v>28</v>
      </c>
    </row>
    <row r="37">
      <c r="A37" s="8" t="inlineStr">
        <is>
          <t>/contact/</t>
        </is>
      </c>
      <c r="B37" s="8" t="n">
        <v>83</v>
      </c>
      <c r="C37" s="8" t="n">
        <v>17</v>
      </c>
    </row>
    <row r="38">
      <c r="A38" s="8" t="inlineStr">
        <is>
          <t>/references-clients-output-management/</t>
        </is>
      </c>
      <c r="B38" s="8" t="n">
        <v>82</v>
      </c>
      <c r="C38" s="8" t="n">
        <v>28</v>
      </c>
    </row>
    <row r="39">
      <c r="A39" s="8" t="inlineStr">
        <is>
          <t>/cas-usage-output-management/</t>
        </is>
      </c>
      <c r="B39" s="8" t="n">
        <v>79</v>
      </c>
      <c r="C39" s="8" t="n">
        <v>25</v>
      </c>
    </row>
    <row r="41">
      <c r="A41" s="3" t="inlineStr">
        <is>
          <t>Repartition geographique — juin 2026</t>
        </is>
      </c>
      <c r="B41" s="5" t="n"/>
      <c r="C41" s="5" t="n"/>
    </row>
    <row r="42">
      <c r="A42" s="7" t="inlineStr">
        <is>
          <t>Pays</t>
        </is>
      </c>
      <c r="B42" s="7" t="inlineStr">
        <is>
          <t>Sessions</t>
        </is>
      </c>
      <c r="C42" s="7" t="inlineStr">
        <is>
          <t>% du total</t>
        </is>
      </c>
    </row>
    <row r="43">
      <c r="A43" s="8" t="inlineStr">
        <is>
          <t>France</t>
        </is>
      </c>
      <c r="B43" s="8" t="n">
        <v>139</v>
      </c>
      <c r="C43" s="8">
        <f>B43/$C$9</f>
        <v/>
      </c>
    </row>
    <row r="44">
      <c r="A44" s="8" t="inlineStr">
        <is>
          <t>Pays-Bas</t>
        </is>
      </c>
      <c r="B44" s="8" t="n">
        <v>11</v>
      </c>
      <c r="C44" s="8">
        <f>B44/$C$9</f>
        <v/>
      </c>
    </row>
    <row r="45">
      <c r="A45" s="8" t="inlineStr">
        <is>
          <t>Etats-Unis</t>
        </is>
      </c>
      <c r="B45" s="8" t="n">
        <v>11</v>
      </c>
      <c r="C45" s="8">
        <f>B45/$C$9</f>
        <v/>
      </c>
    </row>
    <row r="46">
      <c r="A46" s="8" t="inlineStr">
        <is>
          <t>Irlande</t>
        </is>
      </c>
      <c r="B46" s="8" t="n">
        <v>8</v>
      </c>
      <c r="C46" s="8">
        <f>B46/$C$9</f>
        <v/>
      </c>
    </row>
    <row r="47">
      <c r="A47" s="8" t="inlineStr">
        <is>
          <t>(not set)</t>
        </is>
      </c>
      <c r="B47" s="8" t="n">
        <v>4</v>
      </c>
      <c r="C47" s="8">
        <f>B47/$C$9</f>
        <v/>
      </c>
    </row>
    <row r="48">
      <c r="A48" s="8" t="inlineStr">
        <is>
          <t>Australie</t>
        </is>
      </c>
      <c r="B48" s="8" t="n">
        <v>1</v>
      </c>
      <c r="C48" s="8">
        <f>B48/$C$9</f>
        <v/>
      </c>
    </row>
    <row r="49">
      <c r="A49" s="8" t="inlineStr">
        <is>
          <t>Singapour</t>
        </is>
      </c>
      <c r="B49" s="8" t="n">
        <v>1</v>
      </c>
      <c r="C49" s="8">
        <f>B49/$C$9</f>
        <v/>
      </c>
    </row>
    <row r="50">
      <c r="A50" s="8" t="inlineStr">
        <is>
          <t>Taiwan</t>
        </is>
      </c>
      <c r="B50" s="8" t="n">
        <v>1</v>
      </c>
      <c r="C50" s="8">
        <f>B50/$C$9</f>
        <v/>
      </c>
    </row>
    <row r="51">
      <c r="A51" s="8" t="inlineStr">
        <is>
          <t>Royaume-Uni</t>
        </is>
      </c>
      <c r="B51" s="8" t="n">
        <v>1</v>
      </c>
      <c r="C51" s="8">
        <f>B51/$C$9</f>
        <v/>
      </c>
    </row>
    <row r="53">
      <c r="A53" s="3" t="inlineStr">
        <is>
          <t>Canaux d'acquisition — juin 2026</t>
        </is>
      </c>
      <c r="B53" s="5" t="n"/>
      <c r="C53" s="5" t="n"/>
    </row>
    <row r="54">
      <c r="A54" s="7" t="inlineStr">
        <is>
          <t>Canal</t>
        </is>
      </c>
      <c r="B54" s="7" t="inlineStr">
        <is>
          <t>Sessions</t>
        </is>
      </c>
      <c r="C54" s="7" t="inlineStr">
        <is>
          <t>% du total</t>
        </is>
      </c>
    </row>
    <row r="55">
      <c r="A55" s="8" t="inlineStr">
        <is>
          <t>Direct</t>
        </is>
      </c>
      <c r="B55" s="8" t="n">
        <v>157</v>
      </c>
      <c r="C55" s="8">
        <f>B55/$C$9</f>
        <v/>
      </c>
    </row>
    <row r="56">
      <c r="A56" s="8" t="inlineStr">
        <is>
          <t>Unassigned</t>
        </is>
      </c>
      <c r="B56" s="8" t="n">
        <v>13</v>
      </c>
      <c r="C56" s="8">
        <f>B56/$C$9</f>
        <v/>
      </c>
    </row>
    <row r="57">
      <c r="A57" s="8" t="inlineStr">
        <is>
          <t>Referral</t>
        </is>
      </c>
      <c r="B57" s="8" t="n">
        <v>4</v>
      </c>
      <c r="C57" s="8">
        <f>B57/$C$9</f>
        <v/>
      </c>
    </row>
    <row r="58">
      <c r="A58" s="8" t="inlineStr">
        <is>
          <t>Organic Search</t>
        </is>
      </c>
      <c r="B58" s="8" t="n">
        <v>3</v>
      </c>
      <c r="C58" s="8">
        <f>B58/$C$9</f>
        <v/>
      </c>
    </row>
    <row r="59" ht="28" customHeight="1">
      <c r="A59" s="10" t="inlineStr">
        <is>
          <t>Organic Search ne pese que 1,7% des sessions de juin : coherent avec l'absence quasi totale de visibilite mesuree en Search Console sur la meme periode (onglet SEO).</t>
        </is>
      </c>
    </row>
    <row r="61">
      <c r="A61" s="3" t="inlineStr">
        <is>
          <t>Pour memoire — juillet 2026 (partiel, 01/07-17/07)</t>
        </is>
      </c>
      <c r="B61" s="5" t="n"/>
      <c r="C61" s="5" t="n"/>
    </row>
    <row r="62">
      <c r="A62" s="9" t="inlineStr">
        <is>
          <t>Sessions</t>
        </is>
      </c>
      <c r="B62" s="9" t="n">
        <v>151</v>
      </c>
      <c r="C62" s="9" t="inlineStr">
        <is>
          <t>Utilisateurs actifs : 58 — rythme quotidien coherent avec juin, permettra une premiere comparaison MoM complete au rapport d'aout 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workbookViewId="0">
      <pane ySplit="7" topLeftCell="A8" activePane="bottomLeft" state="frozen"/>
      <selection pane="bottomLeft" activeCell="A1" sqref="A1"/>
    </sheetView>
  </sheetViews>
  <sheetFormatPr baseColWidth="8" defaultRowHeight="15"/>
  <cols>
    <col width="55" customWidth="1" min="1" max="1"/>
    <col width="16" customWidth="1" min="2" max="2"/>
    <col width="16" customWidth="1" min="3" max="3"/>
    <col width="16" customWidth="1" min="4" max="4"/>
  </cols>
  <sheetData>
    <row r="1">
      <c r="A1" s="1" t="inlineStr">
        <is>
          <t>ScopIOM — Rapport mensuel — Visibilite SEO (Google Search Console)</t>
        </is>
      </c>
    </row>
    <row r="2">
      <c r="A2" s="2" t="inlineStr">
        <is>
          <t>Propriete : https://scopiom.com/ | Juin 2026 vs mai 2026 vs juin 2025</t>
        </is>
      </c>
    </row>
    <row r="4">
      <c r="A4" s="3" t="inlineStr">
        <is>
          <t>Avertissement — aucune donnee Search Console pour juin 2026</t>
        </is>
      </c>
      <c r="B4" s="5" t="n"/>
      <c r="C4" s="5" t="n"/>
      <c r="D4" s="5" t="n"/>
    </row>
    <row r="5" ht="85" customHeight="1">
      <c r="A5" s="11" t="inlineStr">
        <is>
          <t>Verification jour par jour du 01/06 au 07/07/2026 : clics = 0 et impressions = 0 chaque jour, sans exception. La collecte de donnees reelle pour scopiom.com ne demarre que le 08/07/2026 (probablement date de verification/rattachement recent de la propriete), soit apres la fin du mois de juin. Google Search Console ne retro-alimente jamais les impressions anterieures a la verification d'une propriete : il ne s'agit pas d'une panne du connecteur. A titre de controle, la propriete www.mpitech.com (suivie depuis plus longtemps) affiche bien des donnees reelles sur juin 2026 (227 clics, 57775 impressions, position moyenne 14,7) — le connecteur Composio fonctionne normalement.</t>
        </is>
      </c>
    </row>
    <row r="7">
      <c r="A7" s="3" t="inlineStr">
        <is>
          <t>Indicateurs globaux (agregation par propriete)</t>
        </is>
      </c>
      <c r="B7" s="5" t="n"/>
      <c r="C7" s="5" t="n"/>
      <c r="D7" s="5" t="n"/>
    </row>
    <row r="8">
      <c r="A8" s="7" t="inlineStr">
        <is>
          <t>Indicateur</t>
        </is>
      </c>
      <c r="B8" s="7" t="inlineStr">
        <is>
          <t>Mai 2026</t>
        </is>
      </c>
      <c r="C8" s="7" t="inlineStr">
        <is>
          <t>Juin 2026</t>
        </is>
      </c>
      <c r="D8" s="7" t="inlineStr">
        <is>
          <t>Delta</t>
        </is>
      </c>
    </row>
    <row r="9">
      <c r="A9" s="8" t="inlineStr">
        <is>
          <t>Clics</t>
        </is>
      </c>
      <c r="B9" s="8" t="inlineStr">
        <is>
          <t>n/a (0 donnee)</t>
        </is>
      </c>
      <c r="C9" s="8" t="n">
        <v>0</v>
      </c>
      <c r="D9" s="8" t="inlineStr">
        <is>
          <t>n/a</t>
        </is>
      </c>
    </row>
    <row r="10">
      <c r="A10" s="8" t="inlineStr">
        <is>
          <t>Impressions</t>
        </is>
      </c>
      <c r="B10" s="8" t="inlineStr">
        <is>
          <t>n/a (0 donnee)</t>
        </is>
      </c>
      <c r="C10" s="8" t="n">
        <v>0</v>
      </c>
      <c r="D10" s="8" t="inlineStr">
        <is>
          <t>n/a</t>
        </is>
      </c>
    </row>
    <row r="11">
      <c r="A11" s="8" t="inlineStr">
        <is>
          <t>CTR</t>
        </is>
      </c>
      <c r="B11" s="8" t="inlineStr">
        <is>
          <t>n/a</t>
        </is>
      </c>
      <c r="C11" s="8" t="inlineStr">
        <is>
          <t>n/a (0 impression)</t>
        </is>
      </c>
      <c r="D11" s="8" t="inlineStr">
        <is>
          <t>n/a</t>
        </is>
      </c>
    </row>
    <row r="12">
      <c r="A12" s="8" t="inlineStr">
        <is>
          <t>Position moyenne</t>
        </is>
      </c>
      <c r="B12" s="8" t="inlineStr">
        <is>
          <t>n/a</t>
        </is>
      </c>
      <c r="C12" s="8" t="inlineStr">
        <is>
          <t>n/a (0 impression)</t>
        </is>
      </c>
      <c r="D12" s="8" t="inlineStr">
        <is>
          <t>n/a</t>
        </is>
      </c>
    </row>
    <row r="14">
      <c r="A14" s="3" t="inlineStr">
        <is>
          <t>Apercu hors-periode — seule fenetre avec donnees reelles (08/07 au 17/07/2026)</t>
        </is>
      </c>
      <c r="B14" s="5" t="n"/>
      <c r="C14" s="5" t="n"/>
      <c r="D14" s="5" t="n"/>
    </row>
    <row r="15">
      <c r="A15" s="9" t="inlineStr">
        <is>
          <t>Fournie a titre informatif uniquement : hors du mois de juin couvert par ce rapport, incluse pour montrer l'etat actuel de la visibilite.</t>
        </is>
      </c>
    </row>
    <row r="16">
      <c r="A16" s="7" t="inlineStr">
        <is>
          <t>Requete</t>
        </is>
      </c>
      <c r="B16" s="7" t="inlineStr">
        <is>
          <t>Clics</t>
        </is>
      </c>
      <c r="C16" s="7" t="inlineStr">
        <is>
          <t>Impressions</t>
        </is>
      </c>
      <c r="D16" s="7" t="inlineStr">
        <is>
          <t>Position</t>
        </is>
      </c>
    </row>
    <row r="17">
      <c r="A17" s="8" t="inlineStr">
        <is>
          <t>scopiom</t>
        </is>
      </c>
      <c r="B17" s="8" t="n">
        <v>1</v>
      </c>
      <c r="C17" s="8" t="n">
        <v>19</v>
      </c>
      <c r="D17" s="8" t="n">
        <v>3.526315789473684</v>
      </c>
    </row>
    <row r="18">
      <c r="A18" s="8" t="inlineStr">
        <is>
          <t>mpi scop</t>
        </is>
      </c>
      <c r="B18" s="8" t="n">
        <v>0</v>
      </c>
      <c r="C18" s="8" t="n">
        <v>1</v>
      </c>
      <c r="D18" s="8" t="n">
        <v>9</v>
      </c>
    </row>
    <row r="19">
      <c r="A19" s="8" t="inlineStr">
        <is>
          <t>plateforme / solution / logiciel output management</t>
        </is>
      </c>
      <c r="B19" s="8" t="n">
        <v>0</v>
      </c>
      <c r="C19" s="8" t="n">
        <v>2</v>
      </c>
      <c r="D19" s="8" t="n">
        <v>18.5</v>
      </c>
    </row>
    <row r="20">
      <c r="A20" s="8" t="inlineStr">
        <is>
          <t>scopiom.com</t>
        </is>
      </c>
      <c r="B20" s="8" t="n">
        <v>0</v>
      </c>
      <c r="C20" s="8" t="n">
        <v>1</v>
      </c>
      <c r="D20" s="8" t="n">
        <v>1</v>
      </c>
    </row>
    <row r="21" ht="40" customHeight="1">
      <c r="A21" s="10" t="inlineStr">
        <is>
          <t>100% des requetes visibles sont des requetes de marque (scopiom / scopiom.com / mpi scop), a l'exception d'une requete generique a tres faible volume (2 impressions). Aucune des pages publiees en juin (voir onglet Concurrence, point d'avancement S5.2) n'a encore genere d'impression Search Console mesurable — trop recent et/ou indexation en cours.</t>
        </is>
      </c>
    </row>
    <row r="23">
      <c r="A23" s="3" t="inlineStr">
        <is>
          <t>Comparatif de reference — www.mpitech.com (juin 2026, pour controle du connecteur)</t>
        </is>
      </c>
      <c r="B23" s="5" t="n"/>
      <c r="C23" s="5" t="n"/>
      <c r="D23" s="5" t="n"/>
    </row>
    <row r="24">
      <c r="A24" s="7" t="inlineStr">
        <is>
          <t>Indicateur</t>
        </is>
      </c>
      <c r="B24" s="7" t="inlineStr">
        <is>
          <t>Valeur</t>
        </is>
      </c>
    </row>
    <row r="25">
      <c r="A25" s="8" t="inlineStr">
        <is>
          <t>Clics</t>
        </is>
      </c>
      <c r="B25" s="8" t="n">
        <v>227</v>
      </c>
    </row>
    <row r="26">
      <c r="A26" s="8" t="inlineStr">
        <is>
          <t>Impressions</t>
        </is>
      </c>
      <c r="B26" s="8" t="n">
        <v>57775</v>
      </c>
    </row>
    <row r="27">
      <c r="A27" s="8" t="inlineStr">
        <is>
          <t>Position moyenne</t>
        </is>
      </c>
      <c r="B27" s="8" t="n">
        <v>14.70395499783644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4"/>
  <sheetViews>
    <sheetView workbookViewId="0">
      <pane ySplit="4" topLeftCell="A5" activePane="bottomLeft" state="frozen"/>
      <selection pane="bottomLeft" activeCell="A1" sqref="A1"/>
    </sheetView>
  </sheetViews>
  <sheetFormatPr baseColWidth="8" defaultRowHeight="15"/>
  <cols>
    <col width="46" customWidth="1" min="1" max="1"/>
    <col width="14" customWidth="1" min="2" max="2"/>
    <col width="16" customWidth="1" min="3" max="3"/>
    <col width="46" customWidth="1" min="4" max="4"/>
    <col width="46" customWidth="1" min="5" max="5"/>
    <col hidden="1" width="13" customWidth="1" min="7" max="7"/>
    <col hidden="1" width="13" customWidth="1" min="8" max="8"/>
    <col hidden="1" width="13" customWidth="1" min="9" max="9"/>
  </cols>
  <sheetData>
    <row r="1">
      <c r="A1" s="1" t="inlineStr">
        <is>
          <t>ScopIOM — Rapport mensuel — Concurrence (Semrush)</t>
        </is>
      </c>
    </row>
    <row r="2">
      <c r="A2" s="2" t="inlineStr">
        <is>
          <t>Base regionale : France (fr) | Donnees actualisees le 18/07/2026</t>
        </is>
      </c>
    </row>
    <row r="4">
      <c r="A4" s="3" t="inlineStr">
        <is>
          <t>Tendance mensuelle des domaines — Semrush (mots-cles organiques / trafic organique estime)</t>
        </is>
      </c>
      <c r="B4" s="5" t="n"/>
      <c r="C4" s="5" t="n"/>
      <c r="D4" s="5" t="n"/>
      <c r="E4" s="5" t="n"/>
      <c r="F4" s="5" t="n"/>
    </row>
    <row r="5">
      <c r="A5" s="7" t="inlineStr">
        <is>
          <t>Domaine</t>
        </is>
      </c>
      <c r="B5" s="7" t="inlineStr">
        <is>
          <t>Juin 2025</t>
        </is>
      </c>
      <c r="C5" s="7" t="inlineStr">
        <is>
          <t>Mai 2026</t>
        </is>
      </c>
      <c r="D5" s="7" t="inlineStr">
        <is>
          <t>Juin 2026</t>
        </is>
      </c>
      <c r="E5" s="7" t="inlineStr">
        <is>
          <t>Delta MoM (trafic)</t>
        </is>
      </c>
      <c r="F5" s="7" t="inlineStr">
        <is>
          <t>Delta YoY (trafic)</t>
        </is>
      </c>
    </row>
    <row r="6">
      <c r="A6" s="8" t="inlineStr">
        <is>
          <t>scopiom.com</t>
        </is>
      </c>
      <c r="B6" s="8" t="inlineStr">
        <is>
          <t>0 kw / 0 trafic</t>
        </is>
      </c>
      <c r="C6" s="8" t="inlineStr">
        <is>
          <t>0 kw / 0 trafic</t>
        </is>
      </c>
      <c r="D6" s="8" t="inlineStr">
        <is>
          <t>0 kw / 0 trafic</t>
        </is>
      </c>
      <c r="E6" s="12">
        <f>IFERROR((I6-H6)/H6,"n/a")</f>
        <v/>
      </c>
      <c r="F6" s="12">
        <f>IFERROR((I6-G6)/G6,"n/a")</f>
        <v/>
      </c>
      <c r="G6" t="n">
        <v>0</v>
      </c>
      <c r="H6" t="n">
        <v>0</v>
      </c>
      <c r="I6" t="n">
        <v>0</v>
      </c>
    </row>
    <row r="7">
      <c r="A7" s="8" t="inlineStr">
        <is>
          <t>mpitech.com</t>
        </is>
      </c>
      <c r="B7" s="8" t="inlineStr">
        <is>
          <t>50 kw / 165</t>
        </is>
      </c>
      <c r="C7" s="8" t="inlineStr">
        <is>
          <t>40 kw / 117</t>
        </is>
      </c>
      <c r="D7" s="8" t="inlineStr">
        <is>
          <t>30 kw / 115</t>
        </is>
      </c>
      <c r="E7" s="12">
        <f>IFERROR((I7-H7)/H7,"n/a")</f>
        <v/>
      </c>
      <c r="F7" s="12">
        <f>IFERROR((I7-G7)/G7,"n/a")</f>
        <v/>
      </c>
      <c r="G7" t="n">
        <v>165</v>
      </c>
      <c r="H7" t="n">
        <v>117</v>
      </c>
      <c r="I7" t="n">
        <v>115</v>
      </c>
    </row>
    <row r="8">
      <c r="A8" s="8" t="inlineStr">
        <is>
          <t>sealsystems.fr</t>
        </is>
      </c>
      <c r="B8" s="8" t="inlineStr">
        <is>
          <t>328 kw / 680</t>
        </is>
      </c>
      <c r="C8" s="8" t="inlineStr">
        <is>
          <t>272 kw / 384</t>
        </is>
      </c>
      <c r="D8" s="8" t="inlineStr">
        <is>
          <t>203 kw / 473</t>
        </is>
      </c>
      <c r="E8" s="12">
        <f>IFERROR((I8-H8)/H8,"n/a")</f>
        <v/>
      </c>
      <c r="F8" s="12">
        <f>IFERROR((I8-G8)/G8,"n/a")</f>
        <v/>
      </c>
      <c r="G8" t="n">
        <v>680</v>
      </c>
      <c r="H8" t="n">
        <v>384</v>
      </c>
      <c r="I8" t="n">
        <v>473</v>
      </c>
    </row>
    <row r="9">
      <c r="A9" s="8" t="inlineStr">
        <is>
          <t>sefasinnovation.fr</t>
        </is>
      </c>
      <c r="B9" s="8" t="inlineStr">
        <is>
          <t>221 kw / 412</t>
        </is>
      </c>
      <c r="C9" s="8" t="inlineStr">
        <is>
          <t>189 kw / 732</t>
        </is>
      </c>
      <c r="D9" s="8" t="inlineStr">
        <is>
          <t>123 kw / 1055</t>
        </is>
      </c>
      <c r="E9" s="12">
        <f>IFERROR((I9-H9)/H9,"n/a")</f>
        <v/>
      </c>
      <c r="F9" s="12">
        <f>IFERROR((I9-G9)/G9,"n/a")</f>
        <v/>
      </c>
      <c r="G9" t="n">
        <v>412</v>
      </c>
      <c r="H9" t="n">
        <v>732</v>
      </c>
      <c r="I9" t="n">
        <v>1055</v>
      </c>
    </row>
    <row r="10" ht="40" customHeight="1">
      <c r="A10" s="10" t="inlineStr">
        <is>
          <t>scopiom.com n'a toujours aucun mot-cle indexe dans la base Semrush FR, sur l'integralite de l'historique disponible (avril 2025 a juin 2026). sefasinnovation.fr affiche la plus forte progression de trafic organique estime (+44% MoM, +156% YoY), coherente avec sa prise de la position 1 sur "output management system".</t>
        </is>
      </c>
    </row>
    <row r="12">
      <c r="A12" s="3" t="inlineStr">
        <is>
          <t>SERP en direct — mot-cle prioritaire "output management system" (base FR, requete Semrush du 18/07/2026)</t>
        </is>
      </c>
      <c r="B12" s="5" t="n"/>
      <c r="C12" s="5" t="n"/>
    </row>
    <row r="13">
      <c r="A13" s="7" t="inlineStr">
        <is>
          <t>Position</t>
        </is>
      </c>
      <c r="B13" s="7" t="inlineStr">
        <is>
          <t>Domaine</t>
        </is>
      </c>
      <c r="C13" s="7" t="inlineStr">
        <is>
          <t>URL</t>
        </is>
      </c>
    </row>
    <row r="14">
      <c r="A14" s="8" t="n">
        <v>1</v>
      </c>
      <c r="B14" s="8" t="inlineStr">
        <is>
          <t>sefasinnovation.fr</t>
        </is>
      </c>
      <c r="C14" s="8" t="inlineStr">
        <is>
          <t>/output-management</t>
        </is>
      </c>
    </row>
    <row r="15">
      <c r="A15" s="8" t="n">
        <v>2</v>
      </c>
      <c r="B15" s="8" t="inlineStr">
        <is>
          <t>sealsystems.fr</t>
        </is>
      </c>
      <c r="C15" s="8" t="inlineStr">
        <is>
          <t>/blog/output-management-pourquoi-les-entreprises-doivent-s-y-interesser/</t>
        </is>
      </c>
    </row>
    <row r="16">
      <c r="A16" s="8" t="n">
        <v>3</v>
      </c>
      <c r="B16" s="8" t="inlineStr">
        <is>
          <t>betasystems.com</t>
        </is>
      </c>
      <c r="C16" s="8" t="inlineStr">
        <is>
          <t>/resources/blog/what-is-output-management</t>
        </is>
      </c>
    </row>
    <row r="17">
      <c r="A17" s="8" t="n">
        <v>4</v>
      </c>
      <c r="B17" s="8" t="inlineStr">
        <is>
          <t>nazdaq-it.com</t>
        </is>
      </c>
      <c r="C17" s="8" t="inlineStr">
        <is>
          <t>/resources/blog/what-is-an-output-management-system-oms</t>
        </is>
      </c>
    </row>
    <row r="18">
      <c r="A18" s="8" t="n">
        <v>5</v>
      </c>
      <c r="B18" s="8" t="inlineStr">
        <is>
          <t>vasion.com</t>
        </is>
      </c>
      <c r="C18" s="8" t="inlineStr">
        <is>
          <t>/fr/blog/redefining-output-management/</t>
        </is>
      </c>
    </row>
    <row r="19">
      <c r="A19" s="8" t="n">
        <v>6</v>
      </c>
      <c r="B19" s="8" t="inlineStr">
        <is>
          <t>play.google.com</t>
        </is>
      </c>
      <c r="C19" s="8" t="inlineStr">
        <is>
          <t>/store/apps/details?id=com.dehaat.output</t>
        </is>
      </c>
    </row>
    <row r="20">
      <c r="A20" s="8" t="n">
        <v>7</v>
      </c>
      <c r="B20" s="8" t="inlineStr">
        <is>
          <t>mpitech.com  ⚠ (MPI Tech, pas scopiom.com)</t>
        </is>
      </c>
      <c r="C20" s="8" t="inlineStr">
        <is>
          <t>/output-management-systems-guide/</t>
        </is>
      </c>
    </row>
    <row r="21">
      <c r="A21" s="8" t="n">
        <v>8</v>
      </c>
      <c r="B21" s="8" t="inlineStr">
        <is>
          <t>kwsoft.com</t>
        </is>
      </c>
      <c r="C21" s="8" t="inlineStr">
        <is>
          <t>/know-how/output-management/</t>
        </is>
      </c>
    </row>
    <row r="22">
      <c r="A22" s="8" t="n">
        <v>9</v>
      </c>
      <c r="B22" s="8" t="inlineStr">
        <is>
          <t>epvc.fr</t>
        </is>
      </c>
      <c r="C22" s="8" t="inlineStr">
        <is>
          <t>/output-management-system-definition-principes-et-avantages/</t>
        </is>
      </c>
    </row>
    <row r="23">
      <c r="A23" s="8" t="inlineStr">
        <is>
          <t>—</t>
        </is>
      </c>
      <c r="B23" s="8" t="inlineStr">
        <is>
          <t>scopiom.com</t>
        </is>
      </c>
      <c r="C23" s="8" t="inlineStr">
        <is>
          <t>Absent du top 20</t>
        </is>
      </c>
    </row>
    <row r="24" ht="28" customHeight="1">
      <c r="A24" s="11" t="inlineStr">
        <is>
          <t>⚠ Rapport de force inchange depuis le 17/07/2026 : Sefas Innovation en position 1, SEAL Systems recule en position 2, mpitech.com en position 7. scopiom.com — le site produit, pivot de la strategie SEO — reste absent du top 20.</t>
        </is>
      </c>
    </row>
    <row r="26">
      <c r="A26" s="3" t="inlineStr">
        <is>
          <t>Veille concurrentielle — blog SEAL Systems, bilan de juin 2026 (CLAUDE.md S7)</t>
        </is>
      </c>
      <c r="B26" s="5" t="n"/>
      <c r="C26" s="5" t="n"/>
    </row>
    <row r="27">
      <c r="A27" s="7" t="inlineStr">
        <is>
          <t>Date</t>
        </is>
      </c>
      <c r="B27" s="7" t="inlineStr">
        <is>
          <t>Titre</t>
        </is>
      </c>
      <c r="C27" s="7" t="inlineStr">
        <is>
          <t>Angle</t>
        </is>
      </c>
    </row>
    <row r="28" ht="28" customHeight="1">
      <c r="A28" s="8" t="inlineStr">
        <is>
          <t>29/06/2026</t>
        </is>
      </c>
      <c r="B28" s="13" t="inlineStr">
        <is>
          <t>Impression SAP sur sites distants sans VPN ?</t>
        </is>
      </c>
      <c r="C28" s="13" t="inlineStr">
        <is>
          <t>Impression SAP sur sites distants sans VPN, avec REX</t>
        </is>
      </c>
    </row>
    <row r="29" ht="28" customHeight="1">
      <c r="A29" s="8" t="inlineStr">
        <is>
          <t>15/06/2026</t>
        </is>
      </c>
      <c r="B29" s="13" t="inlineStr">
        <is>
          <t>Output Management SAP : pourquoi un systeme d'Output Management fait toute la difference</t>
        </is>
      </c>
      <c r="C29" s="13" t="inlineStr">
        <is>
          <t>Cycle de vie documentaire depuis SAP jusqu'a la diffusion — proche de l'article generique ScopIOM en attente</t>
        </is>
      </c>
    </row>
    <row r="30" ht="28" customHeight="1">
      <c r="A30" s="8" t="inlineStr">
        <is>
          <t>08/06/2026</t>
        </is>
      </c>
      <c r="B30" s="13" t="inlineStr">
        <is>
          <t>USF 2026 a Strasbourg : SEAL Systems presente ses solutions d'Output Management pour SAP</t>
        </is>
      </c>
      <c r="C30" s="13" t="inlineStr">
        <is>
          <t>Annonce evenementielle, Convention USF (14-15 octobre 2026)</t>
        </is>
      </c>
    </row>
    <row r="31" ht="28" customHeight="1">
      <c r="A31" s="8" t="inlineStr">
        <is>
          <t>01/06/2026</t>
        </is>
      </c>
      <c r="B31" s="13" t="inlineStr">
        <is>
          <t>Livret : Supply Chain SAP : Pourquoi la gestion des impressions est critique ?</t>
        </is>
      </c>
      <c r="C31" s="13" t="inlineStr">
        <is>
          <t>Lead magnet (livret telechargeable) sur la Supply Chain SAP</t>
        </is>
      </c>
    </row>
    <row r="32" ht="40" customHeight="1">
      <c r="A32" s="10" t="inlineStr">
        <is>
          <t>4 articles publies en juin 2026, rythme bimensuel confirme (inchange depuis avril 2026). Pour memoire, l'article du 13/07/2026 ("Impressions SAP : le REX d'un groupe de luxe", USF Mag n°70) chevauche la priorite editoriale S/4HANA de ScopIOM mais tombe en juillet, hors perimetre de ce rapport mensuel — deja journalise dans CLAUDE.md le 17/07/2026.</t>
        </is>
      </c>
    </row>
    <row r="34">
      <c r="A34" s="3" t="inlineStr">
        <is>
          <t>Point d'avancement — articles prioritaires en attente (CLAUDE.md S5.2)</t>
        </is>
      </c>
      <c r="B34" s="5" t="n"/>
      <c r="C34" s="5" t="n"/>
      <c r="D34" s="5" t="n"/>
      <c r="E34" s="5" t="n"/>
    </row>
    <row r="35">
      <c r="A35" s="7" t="inlineStr">
        <is>
          <t>Article</t>
        </is>
      </c>
      <c r="B35" s="7" t="inlineStr">
        <is>
          <t>KD</t>
        </is>
      </c>
      <c r="C35" s="7" t="inlineStr">
        <is>
          <t>Statut</t>
        </is>
      </c>
      <c r="D35" s="7" t="inlineStr">
        <is>
          <t>Preuve</t>
        </is>
      </c>
      <c r="E35" s="7" t="inlineStr">
        <is>
          <t>Commentaire</t>
        </is>
      </c>
    </row>
    <row r="36" ht="46" customHeight="1">
      <c r="A36" s="14" t="inlineStr">
        <is>
          <t>Migration SAP S/4HANA et output management</t>
        </is>
      </c>
      <c r="B36" s="15" t="n">
        <v>8</v>
      </c>
      <c r="C36" s="15" t="inlineStr">
        <is>
          <t>PUBLIE</t>
        </is>
      </c>
      <c r="D36" s="14" t="inlineStr">
        <is>
          <t>URL /migration-sap-s-4hana-ne-negligez-pas-loutput-management-de-vos-flux-dimpression/ : 45 pages vues (GA4, juin-juillet 2026)</t>
        </is>
      </c>
      <c r="E36" s="14" t="inlineStr">
        <is>
          <t>CLAUDE.md le listait encore comme prioritaire n°1 en attente — a corriger. Verification directe du contenu impossible (Cloudflare bloque le fetch, HTTP 503) ; le volume de pages vues confirme neanmoins une page reellement publiee et visitee, pas une ebauche. Aucune impression Search Console mesurable a ce stade (page trop recente / indexation en cours).</t>
        </is>
      </c>
    </row>
    <row r="37" ht="46" customHeight="1">
      <c r="A37" s="14" t="inlineStr">
        <is>
          <t>Failover imprimante / haute disponibilite</t>
        </is>
      </c>
      <c r="B37" s="15" t="n">
        <v>14</v>
      </c>
      <c r="C37" s="15" t="inlineStr">
        <is>
          <t>PUBLIE</t>
        </is>
      </c>
      <c r="D37" s="14" t="inlineStr">
        <is>
          <t>URL /failover-et-haute-disponibilite/ : 38 pages vues (GA4, juin-juillet 2026)</t>
        </is>
      </c>
      <c r="E37" s="14" t="inlineStr">
        <is>
          <t>Meme limite de verification directe (Cloudflare, 503). A verifier manuellement que la distinction des 3 niveaux de failover (CLAUDE.md S9) est bien respectee dans le contenu publie.</t>
        </is>
      </c>
    </row>
    <row r="38" ht="46" customHeight="1">
      <c r="A38" s="6" t="inlineStr">
        <is>
          <t>Output Management : definition, fonctionnement, cas d'usage DSI</t>
        </is>
      </c>
      <c r="B38" s="16" t="n">
        <v>18</v>
      </c>
      <c r="C38" s="16" t="inlineStr">
        <is>
          <t>STATUT INCERTAIN</t>
        </is>
      </c>
      <c r="D38" s="6" t="inlineStr">
        <is>
          <t>URL /blog/output-management-definition/ detectee mais seulement 1 page vue sur la periode</t>
        </is>
      </c>
      <c r="E38" s="6" t="inlineStr">
        <is>
          <t>Volume trop faible pour conclure a une publication aboutie et promue : probablement une ebauche, un brouillon technique ou une ancienne URL/redirection. A verifier manuellement avant de mettre a jour CLAUDE.md sur ce point precis.</t>
        </is>
      </c>
    </row>
    <row r="39" ht="46" customHeight="1">
      <c r="A39" s="13" t="inlineStr">
        <is>
          <t>Print vs. Output management</t>
        </is>
      </c>
      <c r="B39" s="8" t="n">
        <v>12</v>
      </c>
      <c r="C39" s="8" t="inlineStr">
        <is>
          <t>EN ATTENTE</t>
        </is>
      </c>
      <c r="D39" s="13" t="inlineStr">
        <is>
          <t>Aucune URL correspondante detectee dans GA4</t>
        </is>
      </c>
      <c r="E39" s="13" t="inlineStr">
        <is>
          <t>Statut inchange.</t>
        </is>
      </c>
    </row>
    <row r="40" ht="46" customHeight="1">
      <c r="A40" s="13" t="inlineStr">
        <is>
          <t>Comment centraliser la gestion des impressions multisites</t>
        </is>
      </c>
      <c r="B40" s="8" t="n">
        <v>9</v>
      </c>
      <c r="C40" s="8" t="inlineStr">
        <is>
          <t>EN ATTENTE</t>
        </is>
      </c>
      <c r="D40" s="13" t="inlineStr">
        <is>
          <t>Aucune URL correspondante detectee dans GA4</t>
        </is>
      </c>
      <c r="E40" s="13" t="inlineStr">
        <is>
          <t>Statut inchange.</t>
        </is>
      </c>
    </row>
    <row r="41" ht="46" customHeight="1">
      <c r="A41" s="13" t="inlineStr">
        <is>
          <t>Spouler les documents</t>
        </is>
      </c>
      <c r="B41" s="8" t="n">
        <v>27</v>
      </c>
      <c r="C41" s="8" t="inlineStr">
        <is>
          <t>EN ATTENTE</t>
        </is>
      </c>
      <c r="D41" s="13" t="inlineStr">
        <is>
          <t>Aucune URL correspondante detectee dans GA4</t>
        </is>
      </c>
      <c r="E41" s="13" t="inlineStr">
        <is>
          <t>Statut inchange.</t>
        </is>
      </c>
    </row>
    <row r="43">
      <c r="A43" s="3" t="inlineStr">
        <is>
          <t>Statut campagne Position Tracking Semrush (CLAUDE.md S5.4)</t>
        </is>
      </c>
    </row>
    <row r="44" ht="40" customHeight="1">
      <c r="A44" s="6" t="inlineStr">
        <is>
          <t>Les deux projets Semrush existants ("ScopIOM - SEO", id 30407302, et "ScopIOM - IA", id 30404738) ont ete revérifies le 18/07/2026 : toujours 0 mot-cle cible configure dans les deux. La campagne a 34 mots-cles / 6 clusters decrite au S5.4 n'existe donc toujours pas concretement dans Semrush — inchange depuis le rapport hebdomadaire du 17/07/2026.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
  <sheetViews>
    <sheetView workbookViewId="0">
      <pane ySplit="4" topLeftCell="A5" activePane="bottomLeft" state="frozen"/>
      <selection pane="bottomLeft" activeCell="A1" sqref="A1"/>
    </sheetView>
  </sheetViews>
  <sheetFormatPr baseColWidth="8" defaultRowHeight="15"/>
  <cols>
    <col width="40" customWidth="1" min="1" max="1"/>
    <col width="24" customWidth="1" min="2" max="2"/>
    <col width="90" customWidth="1" min="3" max="3"/>
  </cols>
  <sheetData>
    <row r="1">
      <c r="A1" s="1" t="inlineStr">
        <is>
          <t>ScopIOM — Rapport mensuel — Alertes automatiques</t>
        </is>
      </c>
    </row>
    <row r="2">
      <c r="A2" s="2" t="inlineStr">
        <is>
          <t>Juin 2026 | Seuils definis au cahier des charges CLAUDE.md S10.1/S10.2</t>
        </is>
      </c>
    </row>
    <row r="4">
      <c r="A4" s="7" t="inlineStr">
        <is>
          <t>Type d'alerte</t>
        </is>
      </c>
      <c r="B4" s="7" t="inlineStr">
        <is>
          <t>Statut</t>
        </is>
      </c>
      <c r="C4" s="7" t="inlineStr">
        <is>
          <t>Detail</t>
        </is>
      </c>
    </row>
    <row r="5" ht="42" customHeight="1">
      <c r="A5" s="17" t="inlineStr">
        <is>
          <t>Chute de trafic &gt; 15% vs mois precedent</t>
        </is>
      </c>
      <c r="B5" s="16" t="inlineStr">
        <is>
          <t>NON APPLICABLE</t>
        </is>
      </c>
      <c r="C5" s="13" t="inlineStr">
        <is>
          <t>Aucune donnee GA4 mai 2026 (propriete creee le 08/06/2026) : pas de base de comparaison MoM possible ce mois-ci.</t>
        </is>
      </c>
    </row>
    <row r="6" ht="42" customHeight="1">
      <c r="A6" s="17" t="inlineStr">
        <is>
          <t>Nouvelle page en erreur 404/500</t>
        </is>
      </c>
      <c r="B6" s="15" t="inlineStr">
        <is>
          <t>AUCUNE DETECTEE</t>
        </is>
      </c>
      <c r="C6" s="13" t="inlineStr">
        <is>
          <t>Semrush Site Audit (crawl du 13/07/2026, projet "ScopIOM - SEO", 36 pages explorees / 100) : broken=0, blocked=0. Crawl inchange depuis le rapport hebdomadaire du 17/07 — pas de nouveau crawl disponible ce mois-ci.</t>
        </is>
      </c>
    </row>
    <row r="7" ht="42" customHeight="1">
      <c r="A7" s="17" t="inlineStr">
        <is>
          <t>Mot-cle prioritaire sorti du top 10</t>
        </is>
      </c>
      <c r="B7" s="16" t="inlineStr">
        <is>
          <t>NON APPLICABLE</t>
        </is>
      </c>
      <c r="C7" s="13" t="inlineStr">
        <is>
          <t>scopiom.com n'a toujours aucun mot-cle positionne dans le top 100 Semrush FR (0 sur toute la periode avril 2025 - juin 2026) : rien a faire sortir du top 10.</t>
        </is>
      </c>
    </row>
    <row r="8" ht="42" customHeight="1">
      <c r="A8" s="17" t="inlineStr">
        <is>
          <t>Donnees GA4/GSC insuffisantes pour un vrai rapport mensuel</t>
        </is>
      </c>
      <c r="B8" s="18" t="inlineStr">
        <is>
          <t>A CORRIGER</t>
        </is>
      </c>
      <c r="C8" s="13" t="inlineStr">
        <is>
          <t>GA4 : propriete creee le 08/06/2026, juin 2026 couvert a ~23 jours/30, aucun historique mai 2026 ni juin 2025. GSC : 0 donnee sur tout juin 2026, collecte reelle demarree le 08/07/2026. Le premier mois pleinement comparable (MoM) sera aout 2026 (vs juillet 2026 complet) ; le premier YoY ne sera possible qu'a partir de juin 2027.</t>
        </is>
      </c>
    </row>
    <row r="9" ht="42" customHeight="1">
      <c r="A9" s="17" t="inlineStr">
        <is>
          <t>Campagne Position Tracking Semrush vide</t>
        </is>
      </c>
      <c r="B9" s="16" t="inlineStr">
        <is>
          <t>A CORRIGER</t>
        </is>
      </c>
      <c r="C9" s="13" t="inlineStr">
        <is>
          <t>Voir onglet Concurrence : les deux projets Semrush existants n'ont toujours aucune campagne de suivi de mots-cles configuree — inchange depuis 3 cycles de rapport consecutifs.</t>
        </is>
      </c>
    </row>
    <row r="10" ht="42" customHeight="1">
      <c r="A10" s="17" t="inlineStr">
        <is>
          <t>Changement de rapport de force SERP "output management system"</t>
        </is>
      </c>
      <c r="B10" s="16" t="inlineStr">
        <is>
          <t>INFORMATION</t>
        </is>
      </c>
      <c r="C10" s="13" t="inlineStr">
        <is>
          <t>Confirme inchange depuis le 17/07/2026 : Sefas Innovation position 1, SEAL Systems position 2, mpitech.com position 7, scopiom.com absent du top 20.</t>
        </is>
      </c>
    </row>
    <row r="11" ht="42" customHeight="1">
      <c r="A11" s="17" t="inlineStr">
        <is>
          <t>Articles prioritaires publies mais non repertories (CLAUDE.md S5.2)</t>
        </is>
      </c>
      <c r="B11" s="15" t="inlineStr">
        <is>
          <t>A METTRE A JOUR</t>
        </is>
      </c>
      <c r="C11" s="13" t="inlineStr">
        <is>
          <t>2 articles prioritaires ('Migration SAP S/4HANA', 'Failover / haute disponibilite') sont deja publies et visites mais CLAUDE.md les listait encore comme en attente. Corrige dans ce rapport et dans CLAUDE.md.</t>
        </is>
      </c>
    </row>
    <row r="12" ht="42" customHeight="1">
      <c r="A12" s="17" t="inlineStr">
        <is>
          <t>Veille SEAL Systems (blog)</t>
        </is>
      </c>
      <c r="B12" s="16" t="inlineStr">
        <is>
          <t>4 NOUVEAUX ARTICLES CE MOIS</t>
        </is>
      </c>
      <c r="C12" s="13" t="inlineStr">
        <is>
          <t>01/06, 08/06, 15/06, 29/06/2026 — rythme bimensuel confirme, inchange. Detail dans l'onglet Concurrence.</t>
        </is>
      </c>
    </row>
    <row r="13" ht="42" customHeight="1">
      <c r="A13" s="17" t="inlineStr">
        <is>
          <t>Verification automatique des formules (recalc LibreOffice)</t>
        </is>
      </c>
      <c r="B13" s="18" t="inlineStr">
        <is>
          <t>NON VERIFIE CETTE FOIS</t>
        </is>
      </c>
      <c r="C13" s="13" t="inlineStr">
        <is>
          <t>La recalculation automatique via LibreOffice headless (scripts/recalc.py) a echoue dans cet environnement cloud : le processus soffice reste bloque indefiniment sans jamais aboutir, y compris sur un fichier .xlsx minimal a une seule cellule (teste isolement) — limitation de l'environnement d'execution, pas un defaut du fichier. Les formules utilisees dans ce classeur restent des formules Excel standard et simples (IFERROR, division, pourcentage) : elles se calculeront normalement a l'ouverture dans Excel, Google Sheets ou LibreOffice Desktop. A relancer manuellement si une verification automatique est requise avant diffusion.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2026-07-18T11:22:49Z</dcterms:created>
  <dcterms:modified xsi:type="dcterms:W3CDTF">2026-07-18T11:22:49Z</dcterms:modified>
</cp:coreProperties>
</file>