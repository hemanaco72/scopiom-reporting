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ic" sheetId="1" state="visible" r:id="rId1"/>
    <sheet name="SEO" sheetId="2" state="visible" r:id="rId2"/>
    <sheet name="Concurrence" sheetId="3" state="visible" r:id="rId3"/>
    <sheet name="Ale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;0.0%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9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2" fontId="5" fillId="0" borderId="1" pivotButton="0" quotePrefix="0" xfId="0"/>
    <xf numFmtId="166" fontId="5" fillId="0" borderId="1" pivotButton="0" quotePrefix="0" xfId="0"/>
    <xf numFmtId="1" fontId="5" fillId="0" borderId="1" pivotButton="0" quotePrefix="0" xfId="0"/>
    <xf numFmtId="0" fontId="8" fillId="4" borderId="1" applyAlignment="1" pivotButton="0" quotePrefix="0" xfId="0">
      <alignment vertical="top" wrapText="1"/>
    </xf>
    <xf numFmtId="0" fontId="9" fillId="0" borderId="1" pivotButton="0" quotePrefix="0" xfId="0"/>
    <xf numFmtId="0" fontId="7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6" customWidth="1" min="3" max="3"/>
    <col width="14" customWidth="1" min="4" max="4"/>
  </cols>
  <sheetData>
    <row r="1">
      <c r="A1" s="1" t="inlineStr">
        <is>
          <t>ScopIOM — Rapport hebdomadaire — Trafic et audience (GA4)</t>
        </is>
      </c>
    </row>
    <row r="2">
      <c r="A2" s="2" t="inlineStr">
        <is>
          <t>Semaine du 06/07 au 12/07/2026, comparée à la semaine du 29/06 au 05/07/2026 | Propriété GA4 : ScopIOM (properties/540680472) | Généré le 17/07/2026</t>
        </is>
      </c>
    </row>
    <row r="4">
      <c r="A4" s="3" t="inlineStr">
        <is>
          <t>Indicateurs clés (volumes)</t>
        </is>
      </c>
      <c r="B4" s="4" t="n"/>
      <c r="C4" s="4" t="n"/>
      <c r="D4" s="4" t="n"/>
    </row>
    <row r="5">
      <c r="A5" s="5" t="inlineStr">
        <is>
          <t>Indicateur</t>
        </is>
      </c>
      <c r="B5" s="5" t="inlineStr">
        <is>
          <t>Semaine 29/06-05/07</t>
        </is>
      </c>
      <c r="C5" s="5" t="inlineStr">
        <is>
          <t>Semaine 06/07-12/07</t>
        </is>
      </c>
      <c r="D5" s="5" t="inlineStr">
        <is>
          <t>Delta (%)</t>
        </is>
      </c>
    </row>
    <row r="6">
      <c r="A6" s="6" t="inlineStr">
        <is>
          <t>Sessions</t>
        </is>
      </c>
      <c r="B6" s="7" t="n">
        <v>33</v>
      </c>
      <c r="C6" s="7" t="n">
        <v>86</v>
      </c>
      <c r="D6" s="8">
        <f>IFERROR((C6-B6)/B6,"n/a")</f>
        <v/>
      </c>
    </row>
    <row r="7">
      <c r="A7" s="6" t="inlineStr">
        <is>
          <t>Utilisateurs (total)</t>
        </is>
      </c>
      <c r="B7" s="7" t="n">
        <v>11</v>
      </c>
      <c r="C7" s="7" t="n">
        <v>40</v>
      </c>
      <c r="D7" s="8">
        <f>IFERROR((C7-B7)/B7,"n/a")</f>
        <v/>
      </c>
    </row>
    <row r="8">
      <c r="A8" s="6" t="inlineStr">
        <is>
          <t>Nouveaux utilisateurs</t>
        </is>
      </c>
      <c r="B8" s="7" t="n">
        <v>8</v>
      </c>
      <c r="C8" s="7" t="n">
        <v>36</v>
      </c>
      <c r="D8" s="8">
        <f>IFERROR((C8-B8)/B8,"n/a")</f>
        <v/>
      </c>
    </row>
    <row r="9">
      <c r="A9" s="6" t="inlineStr">
        <is>
          <t>Pages vues</t>
        </is>
      </c>
      <c r="B9" s="7" t="n">
        <v>525</v>
      </c>
      <c r="C9" s="7" t="n">
        <v>692</v>
      </c>
      <c r="D9" s="8">
        <f>IFERROR((C9-B9)/B9,"n/a")</f>
        <v/>
      </c>
    </row>
    <row r="10">
      <c r="A10" s="6" t="inlineStr">
        <is>
          <t>Sessions engagées</t>
        </is>
      </c>
      <c r="B10" s="7" t="n">
        <v>19</v>
      </c>
      <c r="C10" s="7" t="n">
        <v>71</v>
      </c>
      <c r="D10" s="8">
        <f>IFERROR((C10-B10)/B10,"n/a")</f>
        <v/>
      </c>
    </row>
    <row r="11">
      <c r="A11" s="6" t="inlineStr">
        <is>
          <t>Durée d'engagement cumulée (secondes)</t>
        </is>
      </c>
      <c r="B11" s="7" t="n">
        <v>11527</v>
      </c>
      <c r="C11" s="7" t="n">
        <v>17209</v>
      </c>
      <c r="D11" s="8">
        <f>IFERROR((C11-B11)/B11,"n/a")</f>
        <v/>
      </c>
    </row>
    <row r="13">
      <c r="A13" s="3" t="inlineStr">
        <is>
          <t>Indicateurs clés (taux — delta exprimé en points)</t>
        </is>
      </c>
      <c r="B13" s="4" t="n"/>
      <c r="C13" s="4" t="n"/>
      <c r="D13" s="4" t="n"/>
    </row>
    <row r="14">
      <c r="A14" s="5" t="inlineStr">
        <is>
          <t>Indicateur</t>
        </is>
      </c>
      <c r="B14" s="5" t="inlineStr">
        <is>
          <t>Semaine 29/06-05/07</t>
        </is>
      </c>
      <c r="C14" s="5" t="inlineStr">
        <is>
          <t>Semaine 06/07-12/07</t>
        </is>
      </c>
      <c r="D14" s="5" t="inlineStr">
        <is>
          <t>Delta (points)</t>
        </is>
      </c>
    </row>
    <row r="15">
      <c r="A15" s="9" t="inlineStr">
        <is>
          <t>Taux de rebond</t>
        </is>
      </c>
      <c r="B15" s="10" t="n">
        <v>0.4242424242424243</v>
      </c>
      <c r="C15" s="10" t="n">
        <v>0.1744186046511628</v>
      </c>
      <c r="D15" s="8">
        <f>C15-B15</f>
        <v/>
      </c>
    </row>
    <row r="16">
      <c r="A16" s="9" t="inlineStr">
        <is>
          <t>Taux d'engagement</t>
        </is>
      </c>
      <c r="B16" s="10" t="n">
        <v>0.5757575757575758</v>
      </c>
      <c r="C16" s="10" t="n">
        <v>0.8255813953488372</v>
      </c>
      <c r="D16" s="8">
        <f>C16-B16</f>
        <v/>
      </c>
    </row>
    <row r="18">
      <c r="A18" s="3" t="inlineStr">
        <is>
          <t>Top 10 pages — semaine du 06/07 au 12/07</t>
        </is>
      </c>
      <c r="B18" s="4" t="n"/>
      <c r="C18" s="4" t="n"/>
      <c r="D18" s="4" t="n"/>
    </row>
    <row r="19">
      <c r="A19" s="5" t="inlineStr">
        <is>
          <t>Page (pagePath)</t>
        </is>
      </c>
      <c r="B19" s="5" t="inlineStr">
        <is>
          <t>Titre</t>
        </is>
      </c>
      <c r="C19" s="5" t="inlineStr">
        <is>
          <t>Pages vues</t>
        </is>
      </c>
      <c r="D19" s="5" t="inlineStr">
        <is>
          <t>Sessions</t>
        </is>
      </c>
    </row>
    <row r="20">
      <c r="A20" s="6" t="inlineStr">
        <is>
          <t>/</t>
        </is>
      </c>
      <c r="B20" s="6" t="inlineStr">
        <is>
          <t>ScopIOM - Logiciel d'Output Management - MPI Tech</t>
        </is>
      </c>
      <c r="C20" s="7" t="n">
        <v>85</v>
      </c>
      <c r="D20" s="7" t="n">
        <v>39</v>
      </c>
    </row>
    <row r="21">
      <c r="A21" s="6" t="inlineStr">
        <is>
          <t>/ressources-output-management/blog-output-management-editique/</t>
        </is>
      </c>
      <c r="B21" s="6" t="inlineStr">
        <is>
          <t>Blog Output Management &amp; éditique - ScopIOM</t>
        </is>
      </c>
      <c r="C21" s="7" t="n">
        <v>54</v>
      </c>
      <c r="D21" s="7" t="n">
        <v>12</v>
      </c>
    </row>
    <row r="22">
      <c r="A22" s="6" t="inlineStr">
        <is>
          <t>/</t>
        </is>
      </c>
      <c r="B22" s="6" t="inlineStr">
        <is>
          <t>ScopIOM – Plateforme d'Output Management et d'orchestration des flux éditiques</t>
        </is>
      </c>
      <c r="C22" s="7" t="n">
        <v>44</v>
      </c>
      <c r="D22" s="7" t="n">
        <v>6</v>
      </c>
    </row>
    <row r="23">
      <c r="A23" s="6" t="inlineStr">
        <is>
          <t>/fonctionnalites-gestion-impressions-editique/ordonnancement-automatisation-des-flux/</t>
        </is>
      </c>
      <c r="B23" s="6" t="inlineStr">
        <is>
          <t>Ordonnancement des flux documentaires - ScopIOM</t>
        </is>
      </c>
      <c r="C23" s="7" t="n">
        <v>33</v>
      </c>
      <c r="D23" s="7" t="n">
        <v>16</v>
      </c>
    </row>
    <row r="24">
      <c r="A24" s="6" t="inlineStr">
        <is>
          <t>/fonctionnalites-gestion-impressions-editique/module-workflow/</t>
        </is>
      </c>
      <c r="B24" s="6" t="inlineStr">
        <is>
          <t>Module Workflow : orchestration documentaire no-code - ScopIOM</t>
        </is>
      </c>
      <c r="C24" s="7" t="n">
        <v>29</v>
      </c>
      <c r="D24" s="7" t="n">
        <v>11</v>
      </c>
    </row>
    <row r="25">
      <c r="A25" s="6" t="inlineStr">
        <is>
          <t>/cas-usage-output-management/module-workflow/</t>
        </is>
      </c>
      <c r="B25" s="6" t="inlineStr">
        <is>
          <t>Module Workflow : orchestration documentaire no-code – ScopIOM</t>
        </is>
      </c>
      <c r="C25" s="7" t="n">
        <v>22</v>
      </c>
      <c r="D25" s="7" t="n">
        <v>2</v>
      </c>
    </row>
    <row r="26">
      <c r="A26" s="6" t="inlineStr">
        <is>
          <t>/fonctionnalites-gestion-impressions-editique/</t>
        </is>
      </c>
      <c r="B26" s="6" t="inlineStr">
        <is>
          <t>Fonctionnalités ScopIOM : ordonnancement, distribution et spooling - ScopIOM</t>
        </is>
      </c>
      <c r="C26" s="7" t="n">
        <v>21</v>
      </c>
      <c r="D26" s="7" t="n">
        <v>8</v>
      </c>
    </row>
    <row r="27">
      <c r="A27" s="6" t="inlineStr">
        <is>
          <t>/ressources-output-management/faq-output-management-questions-frequentes/</t>
        </is>
      </c>
      <c r="B27" s="6" t="inlineStr">
        <is>
          <t>FAQ output management : déploiement, SAP, HA, sécurité - ScopIOM</t>
        </is>
      </c>
      <c r="C27" s="7" t="n">
        <v>20</v>
      </c>
      <c r="D27" s="7" t="n">
        <v>9</v>
      </c>
    </row>
    <row r="28">
      <c r="A28" s="6" t="inlineStr">
        <is>
          <t>/ressources-output-management/blog-output-management-editique/</t>
        </is>
      </c>
      <c r="B28" s="6" t="inlineStr">
        <is>
          <t>Blog Output Management &amp; éditique – ScopIOM</t>
        </is>
      </c>
      <c r="C28" s="7" t="n">
        <v>19</v>
      </c>
      <c r="D28" s="7" t="n">
        <v>3</v>
      </c>
    </row>
    <row r="29">
      <c r="A29" s="6" t="inlineStr">
        <is>
          <t>/fonctionnalites-gestion-impressions-editique/module-workflow/</t>
        </is>
      </c>
      <c r="B29" s="6" t="inlineStr">
        <is>
          <t>Module Workflow : orchestration documentaire no-code – ScopIOM</t>
        </is>
      </c>
      <c r="C29" s="7" t="n">
        <v>18</v>
      </c>
      <c r="D29" s="7" t="n">
        <v>5</v>
      </c>
    </row>
    <row r="30">
      <c r="A30" s="11" t="inlineStr">
        <is>
          <t>Note : deux lignes '/' et deux lignes 'module-workflow' apparaissent avec des titres légèrement différents (variantes de balise &lt;title&gt; selon la page d'origine WPML/cache) — donnée brute GA4, non retraitée.</t>
        </is>
      </c>
      <c r="B30" s="12" t="n"/>
      <c r="C30" s="12" t="n"/>
      <c r="D30" s="13" t="n"/>
    </row>
    <row r="32">
      <c r="A32" s="3" t="inlineStr">
        <is>
          <t>Répartition géographique — semaine du 06/07 au 12/07</t>
        </is>
      </c>
      <c r="B32" s="4" t="n"/>
      <c r="C32" s="4" t="n"/>
      <c r="D32" s="4" t="n"/>
    </row>
    <row r="33">
      <c r="A33" s="5" t="inlineStr">
        <is>
          <t>Pays</t>
        </is>
      </c>
      <c r="B33" s="5" t="inlineStr">
        <is>
          <t>Sessions</t>
        </is>
      </c>
      <c r="C33" s="5" t="inlineStr">
        <is>
          <t>% du total</t>
        </is>
      </c>
      <c r="D33" s="5" t="inlineStr"/>
    </row>
    <row r="34">
      <c r="A34" s="9" t="inlineStr">
        <is>
          <t>France</t>
        </is>
      </c>
      <c r="B34" s="7" t="n">
        <v>53</v>
      </c>
      <c r="C34" s="10">
        <f>B34/C6</f>
        <v/>
      </c>
    </row>
    <row r="35">
      <c r="A35" s="9" t="inlineStr">
        <is>
          <t>Pays-Bas (Netherlands)</t>
        </is>
      </c>
      <c r="B35" s="7" t="n">
        <v>29</v>
      </c>
      <c r="C35" s="10">
        <f>B35/C6</f>
        <v/>
      </c>
    </row>
    <row r="36">
      <c r="A36" s="9" t="inlineStr">
        <is>
          <t>(not set)</t>
        </is>
      </c>
      <c r="B36" s="7" t="n">
        <v>2</v>
      </c>
      <c r="C36" s="10">
        <f>B36/C6</f>
        <v/>
      </c>
    </row>
    <row r="37">
      <c r="A37" s="9" t="inlineStr">
        <is>
          <t>États-Unis</t>
        </is>
      </c>
      <c r="B37" s="7" t="n">
        <v>2</v>
      </c>
      <c r="C37" s="10">
        <f>B37/C6</f>
        <v/>
      </c>
    </row>
    <row r="38" ht="30" customHeight="1">
      <c r="A38" s="14" t="inlineStr">
        <is>
          <t>⚠ Les 29 sessions Pays-Bas sont 100% en canal direct, sans référent identifiable (voir détail source/support ci-dessous) — probable trafic non qualifié (bot, outil de supervision, VPN) plutôt que de vraies visites DSI françaises. À surveiller, pas à additionner sans réserve à l'audience cible.</t>
        </is>
      </c>
      <c r="B38" s="12" t="n"/>
      <c r="C38" s="12" t="n"/>
      <c r="D38" s="13" t="n"/>
    </row>
    <row r="40">
      <c r="A40" s="3" t="inlineStr">
        <is>
          <t>Canaux d'acquisition — semaine du 06/07 au 12/07</t>
        </is>
      </c>
      <c r="B40" s="4" t="n"/>
      <c r="C40" s="4" t="n"/>
      <c r="D40" s="4" t="n"/>
    </row>
    <row r="41">
      <c r="A41" s="5" t="inlineStr">
        <is>
          <t>Canal</t>
        </is>
      </c>
      <c r="B41" s="5" t="inlineStr">
        <is>
          <t>Sessions</t>
        </is>
      </c>
      <c r="C41" s="5" t="inlineStr">
        <is>
          <t>% du total</t>
        </is>
      </c>
      <c r="D41" s="5" t="inlineStr"/>
    </row>
    <row r="42">
      <c r="A42" s="9" t="inlineStr">
        <is>
          <t>Direct</t>
        </is>
      </c>
      <c r="B42" s="7" t="n">
        <v>60</v>
      </c>
      <c r="C42" s="10">
        <f>B42/C6</f>
        <v/>
      </c>
    </row>
    <row r="43">
      <c r="A43" s="9" t="inlineStr">
        <is>
          <t>Referral</t>
        </is>
      </c>
      <c r="B43" s="7" t="n">
        <v>19</v>
      </c>
      <c r="C43" s="10">
        <f>B43/C6</f>
        <v/>
      </c>
    </row>
    <row r="44">
      <c r="A44" s="9" t="inlineStr">
        <is>
          <t>Unassigned</t>
        </is>
      </c>
      <c r="B44" s="7" t="n">
        <v>5</v>
      </c>
      <c r="C44" s="10">
        <f>B44/C6</f>
        <v/>
      </c>
    </row>
    <row r="45">
      <c r="A45" s="9" t="inlineStr">
        <is>
          <t>Organic Search</t>
        </is>
      </c>
      <c r="B45" s="7" t="n">
        <v>2</v>
      </c>
      <c r="C45" s="10">
        <f>B45/C6</f>
        <v/>
      </c>
    </row>
    <row r="47">
      <c r="A47" s="3" t="inlineStr">
        <is>
          <t>Détail des sources/supports (semaine courante)</t>
        </is>
      </c>
      <c r="B47" s="4" t="n"/>
      <c r="C47" s="4" t="n"/>
      <c r="D47" s="4" t="n"/>
    </row>
    <row r="48">
      <c r="A48" s="5" t="inlineStr">
        <is>
          <t>Pays</t>
        </is>
      </c>
      <c r="B48" s="5" t="inlineStr">
        <is>
          <t>Source / Support</t>
        </is>
      </c>
      <c r="C48" s="5" t="inlineStr">
        <is>
          <t>Sessions</t>
        </is>
      </c>
      <c r="D48" s="5" t="inlineStr"/>
    </row>
    <row r="49">
      <c r="A49" s="9" t="inlineStr">
        <is>
          <t>Pays-Bas</t>
        </is>
      </c>
      <c r="B49" s="6" t="inlineStr">
        <is>
          <t>(direct) / (none)</t>
        </is>
      </c>
      <c r="C49" s="7" t="n">
        <v>29</v>
      </c>
    </row>
    <row r="50">
      <c r="A50" s="9" t="inlineStr">
        <is>
          <t>France</t>
        </is>
      </c>
      <c r="B50" s="6" t="inlineStr">
        <is>
          <t>(direct) / (none)</t>
        </is>
      </c>
      <c r="C50" s="7" t="n">
        <v>28</v>
      </c>
    </row>
    <row r="51">
      <c r="A51" s="9" t="inlineStr">
        <is>
          <t>France</t>
        </is>
      </c>
      <c r="B51" s="6" t="inlineStr">
        <is>
          <t>brokenlinkcheck.com / referral — outil automatisé de vérification de liens</t>
        </is>
      </c>
      <c r="C51" s="7" t="n">
        <v>16</v>
      </c>
    </row>
    <row r="52">
      <c r="A52" s="9" t="inlineStr">
        <is>
          <t>France</t>
        </is>
      </c>
      <c r="B52" s="6" t="inlineStr">
        <is>
          <t>(not set)</t>
        </is>
      </c>
      <c r="C52" s="7" t="n">
        <v>5</v>
      </c>
    </row>
    <row r="53">
      <c r="A53" s="9" t="inlineStr">
        <is>
          <t>France</t>
        </is>
      </c>
      <c r="B53" s="6" t="inlineStr">
        <is>
          <t>stg-scopiom-staging.kinsta.cloud / referral — site de staging interne</t>
        </is>
      </c>
      <c r="C53" s="7" t="n">
        <v>3</v>
      </c>
    </row>
    <row r="54">
      <c r="A54" s="9" t="inlineStr">
        <is>
          <t>(not set)</t>
        </is>
      </c>
      <c r="B54" s="6" t="inlineStr">
        <is>
          <t>(direct) / (none)</t>
        </is>
      </c>
      <c r="C54" s="7" t="n">
        <v>2</v>
      </c>
    </row>
    <row r="55">
      <c r="A55" s="9" t="inlineStr">
        <is>
          <t>France</t>
        </is>
      </c>
      <c r="B55" s="6" t="inlineStr">
        <is>
          <t>google / organic</t>
        </is>
      </c>
      <c r="C55" s="7" t="n">
        <v>1</v>
      </c>
    </row>
    <row r="56">
      <c r="A56" s="9" t="inlineStr">
        <is>
          <t>États-Unis</t>
        </is>
      </c>
      <c r="B56" s="6" t="inlineStr">
        <is>
          <t>(direct) / (none)</t>
        </is>
      </c>
      <c r="C56" s="7" t="n">
        <v>1</v>
      </c>
    </row>
    <row r="57">
      <c r="A57" s="9" t="inlineStr">
        <is>
          <t>États-Unis</t>
        </is>
      </c>
      <c r="B57" s="6" t="inlineStr">
        <is>
          <t>google / organic</t>
        </is>
      </c>
      <c r="C57" s="7" t="n">
        <v>1</v>
      </c>
    </row>
    <row r="58" ht="40" customHeight="1">
      <c r="A58" s="14" t="inlineStr">
        <is>
          <t>Constat : brokenlinkcheck.com (16 sessions) est un outil tiers de vérification de liens, pas un visiteur humain. Cumulé aux 29 sessions Pays-Bas non expliquées, jusqu'à 45 sessions sur 86 (≈52%) sont potentiellement non qualifiées cette semaine. La hausse de trafic (+160,6% sessions) doit donc être lue avec prudence — voir onglet Alertes.</t>
        </is>
      </c>
      <c r="B58" s="12" t="n"/>
      <c r="C58" s="12" t="n"/>
      <c r="D58" s="13" t="n"/>
    </row>
  </sheetData>
  <mergeCells count="3">
    <mergeCell ref="A38:D38"/>
    <mergeCell ref="A30:D30"/>
    <mergeCell ref="A58:D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2" customWidth="1" min="3" max="3"/>
    <col width="16" customWidth="1" min="4" max="4"/>
    <col width="14" customWidth="1" min="5" max="5"/>
  </cols>
  <sheetData>
    <row r="1">
      <c r="A1" s="1" t="inlineStr">
        <is>
          <t>ScopIOM — Rapport hebdomadaire — Visibilité SEO (Google Search Console)</t>
        </is>
      </c>
    </row>
    <row r="2">
      <c r="A2" s="2" t="inlineStr">
        <is>
          <t>Propriété : https://scopiom.com/ | Semaine du 06/07 au 12/07/2026 vs 29/06 au 05/07/2026</t>
        </is>
      </c>
    </row>
    <row r="4">
      <c r="A4" s="3" t="inlineStr">
        <is>
          <t>Indicateurs globaux (agrégation par propriété)</t>
        </is>
      </c>
      <c r="B4" s="4" t="n"/>
      <c r="C4" s="4" t="n"/>
      <c r="D4" s="4" t="n"/>
    </row>
    <row r="5">
      <c r="A5" s="5" t="inlineStr">
        <is>
          <t>Indicateur</t>
        </is>
      </c>
      <c r="B5" s="5" t="inlineStr">
        <is>
          <t>Semaine 29/06-05/07</t>
        </is>
      </c>
      <c r="C5" s="5" t="inlineStr">
        <is>
          <t>Semaine 06/07-12/07</t>
        </is>
      </c>
      <c r="D5" s="5" t="inlineStr">
        <is>
          <t>Delta</t>
        </is>
      </c>
    </row>
    <row r="6">
      <c r="A6" s="9" t="inlineStr">
        <is>
          <t>Clics</t>
        </is>
      </c>
      <c r="B6" s="7" t="n">
        <v>0</v>
      </c>
      <c r="C6" s="7" t="n">
        <v>2</v>
      </c>
      <c r="D6" s="9">
        <f>IF(B6=0,"n/a (base à 0)",(C6-B6)/B6)</f>
        <v/>
      </c>
    </row>
    <row r="7">
      <c r="A7" s="9" t="inlineStr">
        <is>
          <t>Impressions</t>
        </is>
      </c>
      <c r="B7" s="7" t="n">
        <v>0</v>
      </c>
      <c r="C7" s="7" t="n">
        <v>14</v>
      </c>
      <c r="D7" s="9">
        <f>IF(B7=0,"n/a (base à 0)",(C7-B7)/B7)</f>
        <v/>
      </c>
    </row>
    <row r="8">
      <c r="A8" s="9" t="inlineStr">
        <is>
          <t>CTR</t>
        </is>
      </c>
      <c r="B8" s="10" t="n">
        <v>0</v>
      </c>
      <c r="C8" s="10" t="n">
        <v>0.1428571428571428</v>
      </c>
      <c r="D8" s="8">
        <f>C8-B8</f>
        <v/>
      </c>
    </row>
    <row r="9">
      <c r="A9" s="9" t="inlineStr">
        <is>
          <t>Position moyenne</t>
        </is>
      </c>
      <c r="B9" s="9" t="inlineStr">
        <is>
          <t>n/a (0 impression)</t>
        </is>
      </c>
      <c r="C9" s="15" t="n">
        <v>4.214285714285714</v>
      </c>
      <c r="D9" s="9" t="inlineStr">
        <is>
          <t>n/a (pas de base de comparaison)</t>
        </is>
      </c>
    </row>
    <row r="10">
      <c r="A10" s="11" t="inlineStr">
        <is>
          <t>Position moyenne = moyenne pondérée par les impressions (donnée Search Console). CTR delta exprimé en points.</t>
        </is>
      </c>
      <c r="B10" s="12" t="n"/>
      <c r="C10" s="12" t="n"/>
      <c r="D10" s="13" t="n"/>
    </row>
    <row r="12">
      <c r="A12" s="3" t="inlineStr">
        <is>
          <t>Requêtes visibles — semaine du 06/07 au 12/07</t>
        </is>
      </c>
      <c r="B12" s="4" t="n"/>
      <c r="C12" s="4" t="n"/>
      <c r="D12" s="4" t="n"/>
      <c r="E12" s="4" t="n"/>
    </row>
    <row r="13">
      <c r="A13" s="5" t="inlineStr">
        <is>
          <t>Requête</t>
        </is>
      </c>
      <c r="B13" s="5" t="inlineStr">
        <is>
          <t>Clics</t>
        </is>
      </c>
      <c r="C13" s="5" t="inlineStr">
        <is>
          <t>Impressions</t>
        </is>
      </c>
      <c r="D13" s="5" t="inlineStr">
        <is>
          <t>CTR</t>
        </is>
      </c>
      <c r="E13" s="5" t="inlineStr">
        <is>
          <t>Position</t>
        </is>
      </c>
    </row>
    <row r="14">
      <c r="A14" s="6" t="inlineStr">
        <is>
          <t>scopiom</t>
        </is>
      </c>
      <c r="B14" s="7" t="n">
        <v>1</v>
      </c>
      <c r="C14" s="7" t="n">
        <v>10</v>
      </c>
      <c r="D14" s="10" t="n">
        <v>0.1</v>
      </c>
      <c r="E14" s="16" t="n">
        <v>3.7</v>
      </c>
    </row>
    <row r="15">
      <c r="A15" s="6" t="inlineStr">
        <is>
          <t>plateforme / solution / logiciel output management</t>
        </is>
      </c>
      <c r="B15" s="7" t="n">
        <v>0</v>
      </c>
      <c r="C15" s="7" t="n">
        <v>1</v>
      </c>
      <c r="D15" s="10" t="n">
        <v>0</v>
      </c>
      <c r="E15" s="16" t="n">
        <v>19</v>
      </c>
    </row>
    <row r="16" ht="28" customHeight="1">
      <c r="A16" s="11" t="inlineStr">
        <is>
          <t>Search Console masque les requêtes individuelles à très faible volume pour des raisons de confidentialité : la somme des lignes ci-dessus (1 clic / 11 impressions) est donc inférieure au total agrégé de la semaine (2 clics / 14 impressions ci-dessus) — écart normal, pas une anomalie.</t>
        </is>
      </c>
      <c r="B16" s="12" t="n"/>
      <c r="C16" s="12" t="n"/>
      <c r="D16" s="12" t="n"/>
      <c r="E16" s="13" t="n"/>
    </row>
    <row r="18">
      <c r="A18" s="3" t="inlineStr">
        <is>
          <t>Nouvelles requêtes apparues cette semaine</t>
        </is>
      </c>
      <c r="B18" s="4" t="n"/>
      <c r="C18" s="4" t="n"/>
      <c r="D18" s="4" t="n"/>
    </row>
    <row r="19">
      <c r="A19" s="5" t="inlineStr">
        <is>
          <t>Requête</t>
        </is>
      </c>
      <c r="B19" s="5" t="inlineStr">
        <is>
          <t>Impressions</t>
        </is>
      </c>
      <c r="C19" s="5" t="inlineStr">
        <is>
          <t>Statut</t>
        </is>
      </c>
      <c r="D19" s="5" t="inlineStr"/>
    </row>
    <row r="20">
      <c r="A20" s="6" t="inlineStr">
        <is>
          <t>scopiom</t>
        </is>
      </c>
      <c r="B20" s="7" t="n">
        <v>10</v>
      </c>
      <c r="C20" s="9" t="inlineStr">
        <is>
          <t>Nouvelle (0 impression la semaine précédente)</t>
        </is>
      </c>
    </row>
    <row r="21">
      <c r="A21" s="6" t="inlineStr">
        <is>
          <t>plateforme / solution / logiciel output management</t>
        </is>
      </c>
      <c r="B21" s="7" t="n">
        <v>1</v>
      </c>
      <c r="C21" s="9" t="inlineStr">
        <is>
          <t>Nouvelle (0 impression la semaine précédente)</t>
        </is>
      </c>
    </row>
    <row r="23">
      <c r="A23" s="3" t="inlineStr">
        <is>
          <t>Pages — progression semaine sur semaine</t>
        </is>
      </c>
      <c r="B23" s="4" t="n"/>
      <c r="C23" s="4" t="n"/>
      <c r="D23" s="4" t="n"/>
    </row>
    <row r="24">
      <c r="A24" s="5" t="inlineStr">
        <is>
          <t>Page</t>
        </is>
      </c>
      <c r="B24" s="5" t="inlineStr">
        <is>
          <t>Clics/Impr. semaine préc.</t>
        </is>
      </c>
      <c r="C24" s="5" t="inlineStr">
        <is>
          <t>Clics/Impr. semaine courante</t>
        </is>
      </c>
      <c r="D24" s="5" t="inlineStr">
        <is>
          <t>Évolution</t>
        </is>
      </c>
    </row>
    <row r="25">
      <c r="A25" s="9" t="inlineStr">
        <is>
          <t>https://scopiom.com/</t>
        </is>
      </c>
      <c r="B25" s="9" t="inlineStr">
        <is>
          <t>0 / 0</t>
        </is>
      </c>
      <c r="C25" s="9" t="inlineStr">
        <is>
          <t>2 / 14</t>
        </is>
      </c>
      <c r="D25" s="9" t="inlineStr">
        <is>
          <t>Nouvelle visibilité — seule page avec impressions sur les deux semaines analysées</t>
        </is>
      </c>
    </row>
  </sheetData>
  <mergeCells count="2">
    <mergeCell ref="A16:E16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6" customWidth="1" min="3" max="3"/>
    <col width="20" customWidth="1" min="4" max="4"/>
    <col width="14" customWidth="1" min="5" max="5"/>
  </cols>
  <sheetData>
    <row r="1">
      <c r="A1" s="1" t="inlineStr">
        <is>
          <t>ScopIOM — Rapport hebdomadaire — Concurrence (Semrush)</t>
        </is>
      </c>
    </row>
    <row r="2">
      <c r="A2" s="2" t="inlineStr">
        <is>
          <t>Base régionale : France (fr) | Données actualisées le 17/07/2026</t>
        </is>
      </c>
    </row>
    <row r="4">
      <c r="A4" s="3" t="inlineStr">
        <is>
          <t>Comparatif de domaines — Semrush Domain Overview</t>
        </is>
      </c>
      <c r="B4" s="4" t="n"/>
      <c r="C4" s="4" t="n"/>
      <c r="D4" s="4" t="n"/>
      <c r="E4" s="4" t="n"/>
    </row>
    <row r="5">
      <c r="A5" s="5" t="inlineStr">
        <is>
          <t>Domaine</t>
        </is>
      </c>
      <c r="B5" s="5" t="inlineStr">
        <is>
          <t>Semrush Rank</t>
        </is>
      </c>
      <c r="C5" s="5" t="inlineStr">
        <is>
          <t>Mots-clés organiques</t>
        </is>
      </c>
      <c r="D5" s="5" t="inlineStr">
        <is>
          <t>Trafic organique estimé/mois</t>
        </is>
      </c>
      <c r="E5" s="5" t="inlineStr">
        <is>
          <t>Coût trafic estimé</t>
        </is>
      </c>
    </row>
    <row r="6">
      <c r="A6" s="9" t="inlineStr">
        <is>
          <t>scopiom.com</t>
        </is>
      </c>
      <c r="B6" s="9" t="inlineStr">
        <is>
          <t>n/a</t>
        </is>
      </c>
      <c r="C6" s="7" t="n">
        <v>0</v>
      </c>
      <c r="D6" s="7" t="n">
        <v>0</v>
      </c>
      <c r="E6" s="9" t="inlineStr">
        <is>
          <t>0 $</t>
        </is>
      </c>
    </row>
    <row r="7">
      <c r="A7" s="9" t="inlineStr">
        <is>
          <t>sealsystems.fr</t>
        </is>
      </c>
      <c r="B7" s="7" t="n">
        <v>343928</v>
      </c>
      <c r="C7" s="7" t="n">
        <v>200</v>
      </c>
      <c r="D7" s="7" t="n">
        <v>576</v>
      </c>
      <c r="E7" s="9" t="inlineStr">
        <is>
          <t>368 $</t>
        </is>
      </c>
    </row>
    <row r="8" ht="28" customHeight="1">
      <c r="A8" s="11" t="inlineStr">
        <is>
          <t>scopiom.com n'a aucun mot-clé indexé dans la base Semrush FR (inchangé depuis le rapport précédent). Les chiffres SEAL Systems sont identiques à l'instantané précédent — Semrush ne semble pas avoir rafraîchi ce domaine cette semaine ; ces totaux ne reflètent donc pas nécessairement une évolution réelle de la semaine.</t>
        </is>
      </c>
      <c r="B8" s="12" t="n"/>
      <c r="C8" s="12" t="n"/>
      <c r="D8" s="12" t="n"/>
      <c r="E8" s="13" t="n"/>
    </row>
    <row r="10">
      <c r="A10" s="3" t="inlineStr">
        <is>
          <t>SERP en direct — mot-clé prioritaire "output management system" (base FR, requête du 17/07/2026)</t>
        </is>
      </c>
      <c r="B10" s="4" t="n"/>
      <c r="C10" s="4" t="n"/>
    </row>
    <row r="11">
      <c r="A11" s="5" t="inlineStr">
        <is>
          <t>Position</t>
        </is>
      </c>
      <c r="B11" s="5" t="inlineStr">
        <is>
          <t>Domaine</t>
        </is>
      </c>
      <c r="C11" s="5" t="inlineStr">
        <is>
          <t>URL</t>
        </is>
      </c>
    </row>
    <row r="12">
      <c r="A12" s="17" t="n">
        <v>1</v>
      </c>
      <c r="B12" s="6" t="inlineStr">
        <is>
          <t>sefasinnovation.fr</t>
        </is>
      </c>
      <c r="C12" s="6" t="inlineStr">
        <is>
          <t>/output-management</t>
        </is>
      </c>
    </row>
    <row r="13">
      <c r="A13" s="17" t="n">
        <v>2</v>
      </c>
      <c r="B13" s="6" t="inlineStr">
        <is>
          <t>sealsystems.fr</t>
        </is>
      </c>
      <c r="C13" s="6" t="inlineStr">
        <is>
          <t>/blog/output-management-pourquoi-les-entreprises-doivent-s-y-interesser/</t>
        </is>
      </c>
    </row>
    <row r="14">
      <c r="A14" s="17" t="n">
        <v>3</v>
      </c>
      <c r="B14" s="6" t="inlineStr">
        <is>
          <t>betasystems.com</t>
        </is>
      </c>
      <c r="C14" s="6" t="inlineStr">
        <is>
          <t>/resources/blog/what-is-output-management</t>
        </is>
      </c>
    </row>
    <row r="15">
      <c r="A15" s="17" t="n">
        <v>4</v>
      </c>
      <c r="B15" s="6" t="inlineStr">
        <is>
          <t>nazdaq-it.com</t>
        </is>
      </c>
      <c r="C15" s="6" t="inlineStr">
        <is>
          <t>/resources/blog/what-is-an-output-management-system-oms</t>
        </is>
      </c>
    </row>
    <row r="16">
      <c r="A16" s="17" t="n">
        <v>5</v>
      </c>
      <c r="B16" s="6" t="inlineStr">
        <is>
          <t>vasion.com</t>
        </is>
      </c>
      <c r="C16" s="6" t="inlineStr">
        <is>
          <t>/fr/blog/redefining-output-management/</t>
        </is>
      </c>
    </row>
    <row r="17">
      <c r="A17" s="17" t="n">
        <v>7</v>
      </c>
      <c r="B17" s="6" t="inlineStr">
        <is>
          <t>mpitech.com  ⚠ (MPI Tech, pas scopiom.com)</t>
        </is>
      </c>
      <c r="C17" s="6" t="inlineStr">
        <is>
          <t>/output-management-systems-guide/</t>
        </is>
      </c>
    </row>
    <row r="18">
      <c r="A18" s="9" t="inlineStr">
        <is>
          <t>—</t>
        </is>
      </c>
      <c r="B18" s="9" t="inlineStr">
        <is>
          <t>scopiom.com</t>
        </is>
      </c>
      <c r="C18" s="9" t="inlineStr">
        <is>
          <t>Absent du top 20</t>
        </is>
      </c>
    </row>
    <row r="19" ht="55" customHeight="1">
      <c r="A19" s="18" t="inlineStr">
        <is>
          <t>⚠ CHANGEMENT DE RAPPORT DE FORCE : Sefas Innovation (sefasinnovation.fr) occupe désormais la position 1 sur "output management system" (base FR) — SEAL Systems recule en position 2. CLAUDE.md §3/§4.4 désignait encore SEAL Systems comme le concurrent en position 1 à battre sur la base du snapshot Semrush d'avril 2026 ; cette donnée est obsolète (mise à jour appliquée dans CLAUDE.md ce jour, voir commit du rapport).</t>
        </is>
      </c>
      <c r="B19" s="12" t="n"/>
      <c r="C19" s="12" t="n"/>
      <c r="D19" s="12" t="n"/>
      <c r="E19" s="13" t="n"/>
    </row>
    <row r="20" ht="55" customHeight="1">
      <c r="A20" s="18" t="inlineStr">
        <is>
          <t>⚠ MPI Tech (l'éditeur de ScopIOM) se positionne déjà en position 7 avec une page sur mpitech.com, alors que scopiom.com — le site produit dédié, pivot de toute la stratégie SEO du §3 — n'apparaît nulle part dans le top 20 pour ce mot-clé prioritaire n°1. Risque de dispersion d'autorité / cannibalisation entre les deux domaines à examiner avec l'équipe web (faut-il rediriger/consolider ce contenu vers scopiom.com ?).</t>
        </is>
      </c>
      <c r="B20" s="12" t="n"/>
      <c r="C20" s="12" t="n"/>
      <c r="D20" s="12" t="n"/>
      <c r="E20" s="13" t="n"/>
    </row>
    <row r="22">
      <c r="A22" s="3" t="inlineStr">
        <is>
          <t>Veille concurrentielle — blog SEAL Systems (CLAUDE.md §7)</t>
        </is>
      </c>
      <c r="B22" s="4" t="n"/>
      <c r="C22" s="4" t="n"/>
      <c r="D22" s="4" t="n"/>
    </row>
    <row r="23">
      <c r="A23" s="19" t="inlineStr">
        <is>
          <t>Dernière vérification :</t>
        </is>
      </c>
      <c r="B23" s="9" t="inlineStr">
        <is>
          <t>17/07/2026</t>
        </is>
      </c>
    </row>
    <row r="24" ht="40" customHeight="1">
      <c r="A24" s="19" t="inlineStr">
        <is>
          <t>Résultat :</t>
        </is>
      </c>
      <c r="B24" s="6" t="inlineStr">
        <is>
          <t>Aucun nouvel article depuis la dernière entrée connue (13/07/2026 — "Impressions SAP : le REX d'un groupe de luxe dans l'USF Mag n°70"). Liste inchangée par rapport à CLAUDE.md. Rythme de publication d'environ 2 semaines confirmé (dernier article il y a 4 jours, prochain probablement fin juillet).</t>
        </is>
      </c>
      <c r="C24" s="12" t="n"/>
      <c r="D24" s="12" t="n"/>
      <c r="E24" s="13" t="n"/>
    </row>
    <row r="26">
      <c r="A26" s="3" t="inlineStr">
        <is>
          <t>Statut campagne Position Tracking Semrush (CLAUDE.md §5.4)</t>
        </is>
      </c>
      <c r="B26" s="4" t="n"/>
      <c r="C26" s="4" t="n"/>
      <c r="D26" s="4" t="n"/>
    </row>
    <row r="27" ht="65" customHeight="1">
      <c r="A27" s="20" t="inlineStr">
        <is>
          <t>Les deux projets Semrush existants ("ScopIOM - SEO", id 30407302, et "ScopIOM - IA", id 30404738) ont l'outil de tracking activé mais AUCUNE campagne de suivi de position n'y est configurée à ce jour (0 mot-clé cible). La campagne à 34 mots-clés / 6 clusters décrite en §5.4 n'existe donc pas dans Semrush : impossible d'obtenir des mouvements de position semaine/semaine ni d'alerter sur une sortie du top 10 tant qu'elle n'est pas créée. Action recommandée : créer la campagne de Position Tracking dans le projet "ScopIOM - SEO".</t>
        </is>
      </c>
      <c r="B27" s="12" t="n"/>
      <c r="C27" s="12" t="n"/>
      <c r="D27" s="12" t="n"/>
      <c r="E27" s="13" t="n"/>
    </row>
  </sheetData>
  <mergeCells count="5">
    <mergeCell ref="A20:E20"/>
    <mergeCell ref="A19:E19"/>
    <mergeCell ref="B24:E24"/>
    <mergeCell ref="A8:E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</cols>
  <sheetData>
    <row r="1">
      <c r="A1" s="1" t="inlineStr">
        <is>
          <t>ScopIOM — Rapport hebdomadaire — Alertes automatiques</t>
        </is>
      </c>
    </row>
    <row r="2">
      <c r="A2" s="2" t="inlineStr">
        <is>
          <t>Semaine du 06/07 au 12/07/2026 | Seuils définis au cahier des charges CLAUDE.md §10.1</t>
        </is>
      </c>
    </row>
    <row r="4">
      <c r="A4" s="5" t="inlineStr">
        <is>
          <t>Type d'alerte</t>
        </is>
      </c>
      <c r="B4" s="5" t="inlineStr">
        <is>
          <t>Statut</t>
        </is>
      </c>
      <c r="C4" s="5" t="inlineStr">
        <is>
          <t>Détail</t>
        </is>
      </c>
    </row>
    <row r="5" ht="55" customHeight="1">
      <c r="A5" s="21" t="inlineStr">
        <is>
          <t>Chute de trafic &gt; 15% vs semaine précédente</t>
        </is>
      </c>
      <c r="B5" s="22" t="inlineStr">
        <is>
          <t>Aucune</t>
        </is>
      </c>
      <c r="C5" s="6">
        <f>"Sessions "&amp;TEXT(Trafic!D6,"+0.0%;-0.0%")&amp;", utilisateurs "&amp;TEXT(Trafic!D7,"+0.0%;-0.0%")&amp;" vs semaine précédente — hausse sur tous les indicateurs, pas de chute. Voir réserve sur la qualité du trafic ci-dessous."</f>
        <v/>
      </c>
    </row>
    <row r="6" ht="55" customHeight="1">
      <c r="A6" s="21" t="inlineStr">
        <is>
          <t>Nouvelle page en erreur 404/500</t>
        </is>
      </c>
      <c r="B6" s="22" t="inlineStr">
        <is>
          <t>Aucune détectée</t>
        </is>
      </c>
      <c r="C6" s="6" t="inlineStr">
        <is>
          <t>Semrush Site Audit (crawl du 13/07/2026, projet "ScopIOM - SEO", 36 pages explorées) : 0 page "broken" (4xx/5xx), 0 page bloquée. 2 erreurs de structured data persistent (conflit schema FAQPage/Rank Math déjà connu, cf. CLAUDE.md §2, dette technique) — ce n'est pas une régression de la semaine (errors_delta = 0).</t>
        </is>
      </c>
    </row>
    <row r="7" ht="55" customHeight="1">
      <c r="A7" s="21" t="inlineStr">
        <is>
          <t>Mot-clé prioritaire sorti du top 10</t>
        </is>
      </c>
      <c r="B7" s="23" t="inlineStr">
        <is>
          <t>Non applicable</t>
        </is>
      </c>
      <c r="C7" s="6" t="inlineStr">
        <is>
          <t>scopiom.com n'a aujourd'hui aucun mot-clé positionné dans le top 100 Semrush (base FR, 0 mot-clé organique indexé) : rien ne peut donc "sortir" du top 10 cette semaine, la situation de départ est déjà hors classement. Cette alerte redeviendra pertinente une fois les premiers mots-clés indexés.</t>
        </is>
      </c>
    </row>
    <row r="8" ht="55" customHeight="1">
      <c r="A8" s="21" t="inlineStr">
        <is>
          <t>Qualité du trafic (hors seuils standards du cahier des charges)</t>
        </is>
      </c>
      <c r="B8" s="23" t="inlineStr">
        <is>
          <t>À surveiller</t>
        </is>
      </c>
      <c r="C8" s="6" t="inlineStr">
        <is>
          <t>Sur 86 sessions cette semaine, 29 (Pays-Bas, 100% direct/sans référent) et 16 (France, référent brokenlinkcheck.com — outil automatisé de vérification de liens) semblent non qualifiées, soit environ 52% du volume. La hausse de trafic affichée dans l'onglet Trafic (+160,6% sessions) doit être lue avec cette réserve — recommandé : exclure ces sources dans GA4 (filtre trafic interne/bot) avant le prochain rapport.</t>
        </is>
      </c>
    </row>
    <row r="9" ht="55" customHeight="1">
      <c r="A9" s="21" t="inlineStr">
        <is>
          <t>Campagne Position Tracking Semrush vide</t>
        </is>
      </c>
      <c r="B9" s="23" t="inlineStr">
        <is>
          <t>À corriger</t>
        </is>
      </c>
      <c r="C9" s="6" t="inlineStr">
        <is>
          <t>Voir onglet Concurrence : les projets Semrush existants n'ont aucune campagne de suivi de mots-clés configurée. Aucune donnée de mouvement de position disponible tant que la campagne n'est pas créée.</t>
        </is>
      </c>
    </row>
    <row r="10" ht="55" customHeight="1">
      <c r="A10" s="21" t="inlineStr">
        <is>
          <t>Changement de position SERP "output management system"</t>
        </is>
      </c>
      <c r="B10" s="23" t="inlineStr">
        <is>
          <t>Information</t>
        </is>
      </c>
      <c r="C10" s="6" t="inlineStr">
        <is>
          <t>SEAL Systems recule de la position 1 à la position 2 sur ce mot-clé prioritaire (base FR) ; Sefas Innovation (sefasinnovation.fr) prend la tête. MPI Tech (mpitech.com, pas scopiom.com) est en position 7. Voir onglet Concurrence pour le détail et l'impact sur la stratégie éditoriale du §3.</t>
        </is>
      </c>
    </row>
    <row r="11" ht="55" customHeight="1">
      <c r="A11" s="21" t="inlineStr">
        <is>
          <t>Veille SEAL Systems (blog)</t>
        </is>
      </c>
      <c r="B11" s="22" t="inlineStr">
        <is>
          <t>Aucun nouvel article</t>
        </is>
      </c>
      <c r="C11" s="6" t="inlineStr">
        <is>
          <t>Vérifié le 17/07/2026 : aucun article publié depuis le 13/07/2026 (dernier connu). Voir onglet Concurrence pour le détail.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2026-07-17T23:00:15Z</dcterms:created>
  <dcterms:modified xsi:type="dcterms:W3CDTF">2026-07-17T23:00:15Z</dcterms:modified>
</cp:coreProperties>
</file>