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ic" sheetId="1" state="visible" r:id="rId1"/>
    <sheet name="SEO" sheetId="2" state="visible" r:id="rId2"/>
    <sheet name="Concurrence" sheetId="3" state="visible" r:id="rId3"/>
    <sheet name="Aler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%;-0.0%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555555"/>
      <sz val="10"/>
    </font>
    <font>
      <name val="Arial"/>
      <b val="1"/>
      <sz val="10"/>
    </font>
    <font>
      <name val="Arial"/>
      <sz val="10"/>
    </font>
    <font>
      <name val="Arial"/>
      <color rgb="00B00000"/>
      <sz val="9"/>
    </font>
    <font>
      <name val="Arial"/>
      <i val="1"/>
      <color rgb="00555555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6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Sessions — semaines calendaires complètes</a:t>
            </a:r>
          </a:p>
        </rich>
      </tx>
    </title>
    <plotArea>
      <lineChart>
        <grouping val="standard"/>
        <ser>
          <idx val="0"/>
          <order val="0"/>
          <tx>
            <strRef>
              <f>'Trafic'!B51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'Trafic'!$A$52:$A$57</f>
            </numRef>
          </cat>
          <val>
            <numRef>
              <f>'Trafic'!$B$52:$B$57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24" customWidth="1" min="3" max="3"/>
    <col width="18" customWidth="1" min="4" max="4"/>
  </cols>
  <sheetData>
    <row r="1">
      <c r="A1" s="1" t="inlineStr">
        <is>
          <t>ScopIOM — Rapport hebdomadaire — Trafic et audience (GA4)</t>
        </is>
      </c>
    </row>
    <row r="2">
      <c r="A2" s="2" t="inlineStr">
        <is>
          <t>Semaine du 13/07 au 19/07/2026, comparée à la semaine du 06/07 au 12/07/2026 | Propriété GA4 : ScopIOM (properties/540680472) | Généré le 20/07/2026</t>
        </is>
      </c>
    </row>
    <row r="4">
      <c r="A4" s="3" t="inlineStr">
        <is>
          <t>Indicateurs clés (volumes)</t>
        </is>
      </c>
    </row>
    <row r="5">
      <c r="A5" s="3" t="inlineStr">
        <is>
          <t>Indicateur</t>
        </is>
      </c>
      <c r="B5" s="3" t="inlineStr">
        <is>
          <t>Semaine 06/07-12/07</t>
        </is>
      </c>
      <c r="C5" s="3" t="inlineStr">
        <is>
          <t>Semaine 13/07-19/07</t>
        </is>
      </c>
      <c r="D5" s="3" t="inlineStr">
        <is>
          <t>Delta (%)</t>
        </is>
      </c>
    </row>
    <row r="6">
      <c r="A6" s="4" t="inlineStr">
        <is>
          <t>Sessions</t>
        </is>
      </c>
      <c r="B6" s="4" t="n">
        <v>86</v>
      </c>
      <c r="C6" s="4" t="n">
        <v>52</v>
      </c>
      <c r="D6" s="5">
        <f>IFERROR((C6-B6)/B6,"n/a")</f>
        <v/>
      </c>
    </row>
    <row r="7">
      <c r="A7" s="4" t="inlineStr">
        <is>
          <t>Utilisateurs (total)</t>
        </is>
      </c>
      <c r="B7" s="4" t="n">
        <v>40</v>
      </c>
      <c r="C7" s="4" t="n">
        <v>20</v>
      </c>
      <c r="D7" s="5">
        <f>IFERROR((C7-B7)/B7,"n/a")</f>
        <v/>
      </c>
    </row>
    <row r="8">
      <c r="A8" s="4" t="inlineStr">
        <is>
          <t>Nouveaux utilisateurs</t>
        </is>
      </c>
      <c r="B8" s="4" t="n">
        <v>36</v>
      </c>
      <c r="C8" s="4" t="n">
        <v>15</v>
      </c>
      <c r="D8" s="5">
        <f>IFERROR((C8-B8)/B8,"n/a")</f>
        <v/>
      </c>
    </row>
    <row r="9">
      <c r="A9" s="4" t="inlineStr">
        <is>
          <t>Pages vues</t>
        </is>
      </c>
      <c r="B9" s="4" t="n">
        <v>692</v>
      </c>
      <c r="C9" s="4" t="n">
        <v>239</v>
      </c>
      <c r="D9" s="5">
        <f>IFERROR((C9-B9)/B9,"n/a")</f>
        <v/>
      </c>
    </row>
    <row r="10">
      <c r="A10" s="4" t="inlineStr">
        <is>
          <t>Sessions engagées</t>
        </is>
      </c>
      <c r="B10" s="4" t="n">
        <v>71</v>
      </c>
      <c r="C10" s="4" t="n">
        <v>25</v>
      </c>
      <c r="D10" s="5">
        <f>IFERROR((C10-B10)/B10,"n/a")</f>
        <v/>
      </c>
    </row>
    <row r="11">
      <c r="A11" s="4" t="inlineStr">
        <is>
          <t>Durée d'engagement cumulée (secondes)</t>
        </is>
      </c>
      <c r="B11" s="4" t="n">
        <v>17209</v>
      </c>
      <c r="C11" s="4" t="n">
        <v>1864</v>
      </c>
      <c r="D11" s="5">
        <f>IFERROR((C11-B11)/B11,"n/a")</f>
        <v/>
      </c>
    </row>
    <row r="13">
      <c r="A13" s="3" t="inlineStr">
        <is>
          <t>Indicateurs clés (taux — delta exprimé en points)</t>
        </is>
      </c>
    </row>
    <row r="14">
      <c r="A14" s="3" t="inlineStr">
        <is>
          <t>Indicateur</t>
        </is>
      </c>
      <c r="B14" s="3" t="inlineStr">
        <is>
          <t>Semaine 06/07-12/07</t>
        </is>
      </c>
      <c r="C14" s="3" t="inlineStr">
        <is>
          <t>Semaine 13/07-19/07</t>
        </is>
      </c>
      <c r="D14" s="3" t="inlineStr">
        <is>
          <t>Delta (points)</t>
        </is>
      </c>
    </row>
    <row r="15">
      <c r="A15" s="4" t="inlineStr">
        <is>
          <t>Taux de rebond</t>
        </is>
      </c>
      <c r="B15" s="6" t="n">
        <v>0.1744186046511628</v>
      </c>
      <c r="C15" s="6" t="n">
        <v>0.5192307692307693</v>
      </c>
      <c r="D15" s="5">
        <f>C15-B15</f>
        <v/>
      </c>
    </row>
    <row r="16">
      <c r="A16" s="4" t="inlineStr">
        <is>
          <t>Taux d'engagement</t>
        </is>
      </c>
      <c r="B16" s="6" t="n">
        <v>0.8255813953488372</v>
      </c>
      <c r="C16" s="6" t="n">
        <v>0.4807692307692308</v>
      </c>
      <c r="D16" s="5">
        <f>C16-B16</f>
        <v/>
      </c>
    </row>
    <row r="18" ht="90" customHeight="1">
      <c r="A18" s="7" t="inlineStr">
        <is>
          <t>⚠ Chute de trafic notable cette semaine (sessions -39,5 %, pages vues -65,5 %) : voir onglet Alertes. Nuance importante : la semaine précédente (06/07-12/07) incluait un pic de 47 sessions le 09/07, en grande partie du trafic non qualifié (brokenlinkcheck.com, sessions Pays-Bas sans référent identifiable — déjà signalé dans le rapport du 06/07-12/07). La semaine 13/07-19/07 affiche à l'inverse un trafic plus qualifié (pas de brokenlinkcheck.com, pas de pic Pays-Bas inexpliqué, mais 8 sessions sur 52 proviennent du site de staging interne stg-scopiom-staging.kinsta.cloud, à exclure de l'audience réelle). La baisse en valeur absolue est donc réelle, mais une partie de l'écart s'explique par un retour à un niveau de base après une semaine précédente artificiellement gonflée plutôt que par une perte de trafic organique qualifié équivalente.</t>
        </is>
      </c>
    </row>
    <row r="20">
      <c r="A20" s="3" t="inlineStr">
        <is>
          <t>Top 10 pages — semaine du 13/07 au 19/07 (pages vues)</t>
        </is>
      </c>
    </row>
    <row r="21">
      <c r="A21" s="3" t="inlineStr">
        <is>
          <t>Page</t>
        </is>
      </c>
      <c r="B21" s="3" t="inlineStr">
        <is>
          <t>Pages vues</t>
        </is>
      </c>
      <c r="C21" s="3" t="inlineStr">
        <is>
          <t>Sessions</t>
        </is>
      </c>
    </row>
    <row r="22">
      <c r="A22" s="4" t="inlineStr">
        <is>
          <t>/</t>
        </is>
      </c>
      <c r="B22" s="4" t="n">
        <v>107</v>
      </c>
      <c r="C22" s="4" t="n">
        <v>42</v>
      </c>
    </row>
    <row r="23">
      <c r="A23" s="4" t="inlineStr">
        <is>
          <t>/fonctionnalites-gestion-impressions-editique/module-workflow/</t>
        </is>
      </c>
      <c r="B23" s="4" t="n">
        <v>47</v>
      </c>
      <c r="C23" s="4" t="n">
        <v>3</v>
      </c>
    </row>
    <row r="24">
      <c r="A24" s="4" t="inlineStr">
        <is>
          <t>/contact/</t>
        </is>
      </c>
      <c r="B24" s="4" t="n">
        <v>16</v>
      </c>
      <c r="C24" s="4" t="n">
        <v>4</v>
      </c>
    </row>
    <row r="25">
      <c r="A25" s="4" t="inlineStr">
        <is>
          <t>/fonctionnalites-gestion-impressions-editique/ordonnancement-automatisation-des-flux/</t>
        </is>
      </c>
      <c r="B25" s="4" t="n">
        <v>8</v>
      </c>
      <c r="C25" s="4" t="n">
        <v>5</v>
      </c>
    </row>
    <row r="26">
      <c r="A26" s="4" t="inlineStr">
        <is>
          <t>/ressources-output-management/glossaire-de-l-editique/</t>
        </is>
      </c>
      <c r="B26" s="4" t="n">
        <v>6</v>
      </c>
      <c r="C26" s="4" t="n">
        <v>3</v>
      </c>
    </row>
    <row r="27">
      <c r="A27" s="4" t="inlineStr">
        <is>
          <t>/solution-output-management/architecture-et-haute-disponibilite/</t>
        </is>
      </c>
      <c r="B27" s="4" t="n">
        <v>6</v>
      </c>
      <c r="C27" s="4" t="n">
        <v>1</v>
      </c>
    </row>
    <row r="28">
      <c r="A28" s="4" t="inlineStr">
        <is>
          <t>/ressources-output-management/blog-output-management-editique/</t>
        </is>
      </c>
      <c r="B28" s="4" t="n">
        <v>5</v>
      </c>
      <c r="C28" s="4" t="n">
        <v>4</v>
      </c>
    </row>
    <row r="29">
      <c r="A29" s="4" t="inlineStr">
        <is>
          <t>/solution-output-management/</t>
        </is>
      </c>
      <c r="B29" s="4" t="n">
        <v>5</v>
      </c>
      <c r="C29" s="4" t="n">
        <v>3</v>
      </c>
    </row>
    <row r="30">
      <c r="A30" s="4" t="inlineStr">
        <is>
          <t>/solution-output-management/vue-densemble-plateforme/</t>
        </is>
      </c>
      <c r="B30" s="4" t="n">
        <v>5</v>
      </c>
      <c r="C30" s="4" t="n">
        <v>5</v>
      </c>
    </row>
    <row r="31">
      <c r="A31" s="4" t="inlineStr">
        <is>
          <t>/julien-david/jda/</t>
        </is>
      </c>
      <c r="B31" s="4" t="n">
        <v>4</v>
      </c>
      <c r="C31" s="4" t="n">
        <v>3</v>
      </c>
    </row>
    <row r="33">
      <c r="A33" s="3" t="inlineStr">
        <is>
          <t>Répartition géographique — semaine du 13/07 au 19/07</t>
        </is>
      </c>
    </row>
    <row r="34">
      <c r="A34" s="3" t="inlineStr">
        <is>
          <t>Pays</t>
        </is>
      </c>
      <c r="B34" s="3" t="inlineStr">
        <is>
          <t>Sessions</t>
        </is>
      </c>
      <c r="C34" s="3" t="inlineStr">
        <is>
          <t>% du total</t>
        </is>
      </c>
    </row>
    <row r="35">
      <c r="A35" s="4" t="inlineStr">
        <is>
          <t>France</t>
        </is>
      </c>
      <c r="B35" s="4" t="n">
        <v>41</v>
      </c>
      <c r="C35" s="6">
        <f>B35/C6</f>
        <v/>
      </c>
    </row>
    <row r="36">
      <c r="A36" s="4" t="inlineStr">
        <is>
          <t>États-Unis</t>
        </is>
      </c>
      <c r="B36" s="4" t="n">
        <v>7</v>
      </c>
      <c r="C36" s="6">
        <f>B36/C6</f>
        <v/>
      </c>
    </row>
    <row r="37">
      <c r="A37" s="4" t="inlineStr">
        <is>
          <t>Inde</t>
        </is>
      </c>
      <c r="B37" s="4" t="n">
        <v>2</v>
      </c>
      <c r="C37" s="6">
        <f>B37/C6</f>
        <v/>
      </c>
    </row>
    <row r="38">
      <c r="A38" s="4" t="inlineStr">
        <is>
          <t>(not set)</t>
        </is>
      </c>
      <c r="B38" s="4" t="n">
        <v>1</v>
      </c>
      <c r="C38" s="6">
        <f>B38/C6</f>
        <v/>
      </c>
    </row>
    <row r="39">
      <c r="A39" s="4" t="inlineStr">
        <is>
          <t>Royaume-Uni</t>
        </is>
      </c>
      <c r="B39" s="4" t="n">
        <v>1</v>
      </c>
      <c r="C39" s="6">
        <f>B39/C6</f>
        <v/>
      </c>
    </row>
    <row r="41">
      <c r="A41" s="3" t="inlineStr">
        <is>
          <t>Canaux d'acquisition — semaine du 13/07 au 19/07</t>
        </is>
      </c>
    </row>
    <row r="42">
      <c r="A42" s="3" t="inlineStr">
        <is>
          <t>Canal</t>
        </is>
      </c>
      <c r="B42" s="3" t="inlineStr">
        <is>
          <t>Sessions</t>
        </is>
      </c>
      <c r="C42" s="3" t="inlineStr">
        <is>
          <t>% du total</t>
        </is>
      </c>
    </row>
    <row r="43">
      <c r="A43" s="4" t="inlineStr">
        <is>
          <t>Direct</t>
        </is>
      </c>
      <c r="B43" s="4" t="n">
        <v>20</v>
      </c>
      <c r="C43" s="6">
        <f>B43/C6</f>
        <v/>
      </c>
    </row>
    <row r="44">
      <c r="A44" s="4" t="inlineStr">
        <is>
          <t>Organic Search</t>
        </is>
      </c>
      <c r="B44" s="4" t="n">
        <v>20</v>
      </c>
      <c r="C44" s="6">
        <f>B44/C6</f>
        <v/>
      </c>
    </row>
    <row r="45">
      <c r="A45" s="4" t="inlineStr">
        <is>
          <t>Referral</t>
        </is>
      </c>
      <c r="B45" s="4" t="n">
        <v>10</v>
      </c>
      <c r="C45" s="6">
        <f>B45/C6</f>
        <v/>
      </c>
    </row>
    <row r="46">
      <c r="A46" s="4" t="inlineStr">
        <is>
          <t>Unassigned</t>
        </is>
      </c>
      <c r="B46" s="4" t="n">
        <v>3</v>
      </c>
      <c r="C46" s="6">
        <f>B46/C6</f>
        <v/>
      </c>
    </row>
    <row r="48" ht="45" customHeight="1">
      <c r="A48" s="8" t="inlineStr">
        <is>
          <t>Détail : sur les 20 sessions Referral, 8 proviennent du site de staging interne (stg-scopiom-staging.kinsta.cloud) — trafic de recette, pas des visiteurs externes. Sur les 20 sessions Organic Search, la répartition par moteur est google (6 sessions FR+US) et bing (8 sessions FR+US), signe encourageant de diversification par rapport aux semaines précédentes où le canal organique était quasi nul.</t>
        </is>
      </c>
    </row>
    <row r="50">
      <c r="A50" s="9" t="inlineStr">
        <is>
          <t>Évolution des sessions — semaines calendaires complètes (limité à 6 semaines : la propriété GA4 a été créée le 08/06/2026, il n'existe donc pas encore 8 semaines complètes d'historique)</t>
        </is>
      </c>
    </row>
    <row r="51">
      <c r="A51" s="3" t="inlineStr">
        <is>
          <t>Semaine (lundi-dimanche)</t>
        </is>
      </c>
      <c r="B51" s="3" t="inlineStr">
        <is>
          <t>Sessions</t>
        </is>
      </c>
    </row>
    <row r="52">
      <c r="A52" s="4" t="inlineStr">
        <is>
          <t>08/06-14/06/2026</t>
        </is>
      </c>
      <c r="B52" s="4" t="n">
        <v>73</v>
      </c>
    </row>
    <row r="53">
      <c r="A53" s="4" t="inlineStr">
        <is>
          <t>15/06-21/06/2026</t>
        </is>
      </c>
      <c r="B53" s="4" t="n">
        <v>54</v>
      </c>
    </row>
    <row r="54">
      <c r="A54" s="4" t="inlineStr">
        <is>
          <t>22/06-28/06/2026</t>
        </is>
      </c>
      <c r="B54" s="4" t="n">
        <v>38</v>
      </c>
    </row>
    <row r="55">
      <c r="A55" s="4" t="inlineStr">
        <is>
          <t>29/06-05/07/2026</t>
        </is>
      </c>
      <c r="B55" s="4" t="n">
        <v>33</v>
      </c>
    </row>
    <row r="56">
      <c r="A56" s="4" t="inlineStr">
        <is>
          <t>06/07-12/07/2026</t>
        </is>
      </c>
      <c r="B56" s="4" t="n">
        <v>86</v>
      </c>
    </row>
    <row r="57">
      <c r="A57" s="4" t="inlineStr">
        <is>
          <t>13/07-19/07/2026</t>
        </is>
      </c>
      <c r="B57" s="4">
        <f>C6</f>
        <v/>
      </c>
    </row>
    <row r="58">
      <c r="A58" s="8" t="inlineStr">
        <is>
          <t>Note : la somme jour par jour de cette dernière semaine (GA4, dimension 'date') donne 52 sessions, identique à l'agrégat par propriété (C6) — pas d'écart de seuillage cette semaine.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62" customWidth="1" min="1" max="1"/>
    <col width="26" customWidth="1" min="2" max="2"/>
    <col width="26" customWidth="1" min="3" max="3"/>
    <col width="34" customWidth="1" min="4" max="4"/>
    <col width="14" customWidth="1" min="5" max="5"/>
  </cols>
  <sheetData>
    <row r="1">
      <c r="A1" s="1" t="inlineStr">
        <is>
          <t>ScopIOM — Rapport hebdomadaire — Visibilité SEO (Google Search Console)</t>
        </is>
      </c>
    </row>
    <row r="2">
      <c r="A2" s="2" t="inlineStr">
        <is>
          <t>Propriété : https://scopiom.com/ | Semaine du 13/07 au 19/07/2026 vs 06/07 au 12/07/2026 | Généré le 20/07/2026</t>
        </is>
      </c>
    </row>
    <row r="4">
      <c r="A4" s="3" t="inlineStr">
        <is>
          <t>Indicateurs globaux (agrégation par page)</t>
        </is>
      </c>
    </row>
    <row r="5">
      <c r="A5" s="3" t="inlineStr">
        <is>
          <t>Indicateur</t>
        </is>
      </c>
      <c r="B5" s="3" t="inlineStr">
        <is>
          <t>Semaine 06/07-12/07</t>
        </is>
      </c>
      <c r="C5" s="3" t="inlineStr">
        <is>
          <t>Semaine 13/07-19/07</t>
        </is>
      </c>
      <c r="D5" s="3" t="inlineStr">
        <is>
          <t>Delta</t>
        </is>
      </c>
    </row>
    <row r="6">
      <c r="A6" s="4" t="inlineStr">
        <is>
          <t>Clics</t>
        </is>
      </c>
      <c r="B6" s="4" t="n">
        <v>2</v>
      </c>
      <c r="C6" s="4" t="n">
        <v>2</v>
      </c>
      <c r="D6" s="5">
        <f>IF(B6=0,"n/a (base à 0)",(C6-B6)/B6)</f>
        <v/>
      </c>
    </row>
    <row r="7">
      <c r="A7" s="4" t="inlineStr">
        <is>
          <t>Impressions</t>
        </is>
      </c>
      <c r="B7" s="4" t="n">
        <v>14</v>
      </c>
      <c r="C7" s="4" t="n">
        <v>37</v>
      </c>
      <c r="D7" s="5">
        <f>IF(B7=0,"n/a (base à 0)",(C7-B7)/B7)</f>
        <v/>
      </c>
    </row>
    <row r="8">
      <c r="A8" s="4" t="inlineStr">
        <is>
          <t>CTR</t>
        </is>
      </c>
      <c r="B8" s="6" t="n">
        <v>0.1428571428571428</v>
      </c>
      <c r="C8" s="6" t="n">
        <v>0.05405405405405406</v>
      </c>
      <c r="D8" s="5">
        <f>C8-B8</f>
        <v/>
      </c>
    </row>
    <row r="9">
      <c r="A9" s="4" t="inlineStr">
        <is>
          <t>Position moyenne</t>
        </is>
      </c>
      <c r="B9" s="4" t="n">
        <v>4.214285714285714</v>
      </c>
      <c r="C9" s="4" t="n">
        <v>4.543243243243243</v>
      </c>
      <c r="D9" s="4">
        <f>C9-B9</f>
        <v/>
      </c>
    </row>
    <row r="10">
      <c r="A10" s="10" t="inlineStr">
        <is>
          <t>Position moyenne = moyenne pondérée par les impressions (donnée Search Console, agrégation par page). CTR delta exprimé en points.</t>
        </is>
      </c>
    </row>
    <row r="12">
      <c r="A12" s="3" t="inlineStr">
        <is>
          <t>Requêtes visibles — semaine du 13/07 au 19/07</t>
        </is>
      </c>
    </row>
    <row r="13">
      <c r="A13" s="3" t="inlineStr">
        <is>
          <t>Requête</t>
        </is>
      </c>
      <c r="B13" s="3" t="inlineStr">
        <is>
          <t>Clics</t>
        </is>
      </c>
      <c r="C13" s="3" t="inlineStr">
        <is>
          <t>Impressions</t>
        </is>
      </c>
      <c r="D13" s="3" t="inlineStr">
        <is>
          <t>CTR</t>
        </is>
      </c>
      <c r="E13" s="3" t="inlineStr">
        <is>
          <t>Position</t>
        </is>
      </c>
    </row>
    <row r="14">
      <c r="A14" s="4" t="inlineStr">
        <is>
          <t>scopiom</t>
        </is>
      </c>
      <c r="B14" s="4" t="n">
        <v>1</v>
      </c>
      <c r="C14" s="4" t="n">
        <v>12</v>
      </c>
      <c r="D14" s="6" t="n">
        <v>0.08333333333333333</v>
      </c>
      <c r="E14" s="4" t="n">
        <v>3.5</v>
      </c>
    </row>
    <row r="15">
      <c r="A15" s="4" t="inlineStr">
        <is>
          <t>mpi scop</t>
        </is>
      </c>
      <c r="B15" s="4" t="n">
        <v>0</v>
      </c>
      <c r="C15" s="4" t="n">
        <v>1</v>
      </c>
      <c r="D15" s="6" t="n">
        <v>0</v>
      </c>
      <c r="E15" s="4" t="n">
        <v>9</v>
      </c>
    </row>
    <row r="16">
      <c r="A16" s="4" t="inlineStr">
        <is>
          <t>plateforme / solution / logiciel output management</t>
        </is>
      </c>
      <c r="B16" s="4" t="n">
        <v>0</v>
      </c>
      <c r="C16" s="4" t="n">
        <v>1</v>
      </c>
      <c r="D16" s="6" t="n">
        <v>0</v>
      </c>
      <c r="E16" s="4" t="n">
        <v>18</v>
      </c>
    </row>
    <row r="17">
      <c r="A17" s="4" t="inlineStr">
        <is>
          <t>scopiom.com</t>
        </is>
      </c>
      <c r="B17" s="4" t="n">
        <v>0</v>
      </c>
      <c r="C17" s="4" t="n">
        <v>3</v>
      </c>
      <c r="D17" s="6" t="n">
        <v>0</v>
      </c>
      <c r="E17" s="4" t="n">
        <v>2</v>
      </c>
    </row>
    <row r="18" ht="30" customHeight="1">
      <c r="A18" s="8" t="inlineStr">
        <is>
          <t>Search Console masque les requêtes individuelles à très faible volume pour des raisons de confidentialité : la somme des lignes ci-dessus (1 clic / 17 impressions) est inférieure au total agrégé par page ci-dessus (2 clics / 37 impressions) — écart normal, pas une anomalie.</t>
        </is>
      </c>
    </row>
    <row r="20">
      <c r="A20" s="3" t="inlineStr">
        <is>
          <t>Nouvelles requêtes apparues cette semaine</t>
        </is>
      </c>
    </row>
    <row r="21">
      <c r="A21" s="3" t="inlineStr">
        <is>
          <t>Requête</t>
        </is>
      </c>
      <c r="B21" s="3" t="inlineStr">
        <is>
          <t>Impressions</t>
        </is>
      </c>
      <c r="C21" s="3" t="inlineStr">
        <is>
          <t>Statut</t>
        </is>
      </c>
    </row>
    <row r="22">
      <c r="A22" s="4" t="inlineStr">
        <is>
          <t>mpi scop</t>
        </is>
      </c>
      <c r="B22" s="4" t="n">
        <v>1</v>
      </c>
      <c r="C22" s="4" t="inlineStr">
        <is>
          <t>Nouvelle (absente la semaine précédente)</t>
        </is>
      </c>
    </row>
    <row r="23">
      <c r="A23" s="4" t="inlineStr">
        <is>
          <t>scopiom.com</t>
        </is>
      </c>
      <c r="B23" s="4" t="n">
        <v>3</v>
      </c>
      <c r="C23" s="4" t="inlineStr">
        <is>
          <t>Nouvelle (absente la semaine précédente)</t>
        </is>
      </c>
    </row>
    <row r="25">
      <c r="A25" s="3" t="inlineStr">
        <is>
          <t>Pages — progression semaine sur semaine</t>
        </is>
      </c>
    </row>
    <row r="26">
      <c r="A26" s="3" t="inlineStr">
        <is>
          <t>Page</t>
        </is>
      </c>
      <c r="B26" s="3" t="inlineStr">
        <is>
          <t>Clics/Impr. semaine préc.</t>
        </is>
      </c>
      <c r="C26" s="3" t="inlineStr">
        <is>
          <t>Clics/Impr. semaine courante</t>
        </is>
      </c>
      <c r="D26" s="3" t="inlineStr">
        <is>
          <t>Évolution</t>
        </is>
      </c>
    </row>
    <row r="27">
      <c r="A27" s="4" t="inlineStr">
        <is>
          <t>https://scopiom.com/</t>
        </is>
      </c>
      <c r="B27" s="4" t="inlineStr">
        <is>
          <t>2 / 14</t>
        </is>
      </c>
      <c r="C27" s="4" t="inlineStr">
        <is>
          <t>2 / 35</t>
        </is>
      </c>
      <c r="D27" s="4" t="inlineStr">
        <is>
          <t>Impressions en forte hausse (+150%), clics stables — page déjà identifiée dans le rapport précédent</t>
        </is>
      </c>
    </row>
    <row r="28">
      <c r="A28" s="4" t="inlineStr">
        <is>
          <t>https://scopiom.com/ressources-output-management/faq-output-management-questions-frequentes/</t>
        </is>
      </c>
      <c r="B28" s="4" t="inlineStr">
        <is>
          <t>0 / 0</t>
        </is>
      </c>
      <c r="C28" s="4" t="inlineStr">
        <is>
          <t>0 / 2</t>
        </is>
      </c>
      <c r="D28" s="4" t="inlineStr">
        <is>
          <t>Nouvelle page visible cette semaine (0 clic pour l'instant)</t>
        </is>
      </c>
    </row>
    <row r="30">
      <c r="A30" s="8" t="inlineStr">
        <is>
          <t>Aucune requête du mot-clé prioritaire absolu "output management system" (§3 CLAUDE.md) n'apparaît dans Search Console cette semaine ni la précédente : la page scopiom.com ne reçoit encore aucune impression Google sur ce terme.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30" customWidth="1" min="3" max="3"/>
    <col width="30" customWidth="1" min="4" max="4"/>
    <col width="20" customWidth="1" min="5" max="5"/>
  </cols>
  <sheetData>
    <row r="1">
      <c r="A1" s="1" t="inlineStr">
        <is>
          <t>ScopIOM — Rapport hebdomadaire — Concurrence (Semrush)</t>
        </is>
      </c>
    </row>
    <row r="2">
      <c r="A2" s="2" t="inlineStr">
        <is>
          <t>Base régionale : France (fr) | Données actualisées le 20/07/2026</t>
        </is>
      </c>
    </row>
    <row r="4">
      <c r="A4" s="3" t="inlineStr">
        <is>
          <t>Comparatif de domaines — tous les concurrents directs du §4.1 CLAUDE.md + mpitech.com</t>
        </is>
      </c>
    </row>
    <row r="5">
      <c r="A5" s="3" t="inlineStr">
        <is>
          <t>Domaine</t>
        </is>
      </c>
      <c r="B5" s="3" t="inlineStr">
        <is>
          <t>Semrush Rank</t>
        </is>
      </c>
      <c r="C5" s="3" t="inlineStr">
        <is>
          <t>Mots-clés organiques</t>
        </is>
      </c>
      <c r="D5" s="3" t="inlineStr">
        <is>
          <t>Trafic organique estimé/mois</t>
        </is>
      </c>
      <c r="E5" s="3" t="inlineStr">
        <is>
          <t>Coût trafic estimé ($)</t>
        </is>
      </c>
    </row>
    <row r="6">
      <c r="A6" s="4" t="inlineStr">
        <is>
          <t>scopiom.com</t>
        </is>
      </c>
      <c r="B6" s="4" t="inlineStr">
        <is>
          <t>n/a — 0 mot-clé indexé</t>
        </is>
      </c>
      <c r="C6" s="4" t="n">
        <v>0</v>
      </c>
      <c r="D6" s="4" t="n">
        <v>0</v>
      </c>
      <c r="E6" s="4" t="n">
        <v>0</v>
      </c>
    </row>
    <row r="7">
      <c r="A7" s="4" t="inlineStr">
        <is>
          <t>mpitech.com (corporate MPI Tech)</t>
        </is>
      </c>
      <c r="B7" s="4" t="n">
        <v>868035</v>
      </c>
      <c r="C7" s="4" t="n">
        <v>39</v>
      </c>
      <c r="D7" s="4" t="n">
        <v>113</v>
      </c>
      <c r="E7" s="4" t="n">
        <v>82</v>
      </c>
    </row>
    <row r="8">
      <c r="A8" s="4" t="inlineStr">
        <is>
          <t>sealsystems.fr</t>
        </is>
      </c>
      <c r="B8" s="4" t="n">
        <v>321362</v>
      </c>
      <c r="C8" s="4" t="n">
        <v>207</v>
      </c>
      <c r="D8" s="4" t="n">
        <v>642</v>
      </c>
      <c r="E8" s="4" t="n">
        <v>756</v>
      </c>
    </row>
    <row r="9">
      <c r="A9" s="4" t="inlineStr">
        <is>
          <t>sefasinnovation.fr</t>
        </is>
      </c>
      <c r="B9" s="4" t="n">
        <v>255346</v>
      </c>
      <c r="C9" s="4" t="n">
        <v>123</v>
      </c>
      <c r="D9" s="4" t="n">
        <v>908</v>
      </c>
      <c r="E9" s="4" t="n">
        <v>1977</v>
      </c>
    </row>
    <row r="10">
      <c r="A10" s="4" t="inlineStr">
        <is>
          <t>lrsoutputmanagement.com</t>
        </is>
      </c>
      <c r="B10" s="4" t="n">
        <v>272316</v>
      </c>
      <c r="C10" s="4" t="n">
        <v>58</v>
      </c>
      <c r="D10" s="4" t="n">
        <v>826</v>
      </c>
      <c r="E10" s="4" t="n">
        <v>895</v>
      </c>
    </row>
    <row r="11">
      <c r="A11" s="4" t="inlineStr">
        <is>
          <t>compart.com ⚠ domaine corporate entier</t>
        </is>
      </c>
      <c r="B11" s="4" t="n">
        <v>18119</v>
      </c>
      <c r="C11" s="4" t="n">
        <v>4964</v>
      </c>
      <c r="D11" s="4" t="n">
        <v>27250</v>
      </c>
      <c r="E11" s="4" t="n">
        <v>2128</v>
      </c>
    </row>
    <row r="12">
      <c r="A12" s="4" t="inlineStr">
        <is>
          <t>isis-papyrus.com</t>
        </is>
      </c>
      <c r="B12" s="4" t="n">
        <v>1473716</v>
      </c>
      <c r="C12" s="4" t="n">
        <v>11</v>
      </c>
      <c r="D12" s="4" t="n">
        <v>32</v>
      </c>
      <c r="E12" s="4" t="n">
        <v>23</v>
      </c>
    </row>
    <row r="13">
      <c r="A13" s="4" t="inlineStr">
        <is>
          <t>opentext.com ⚠ domaine corporate entier</t>
        </is>
      </c>
      <c r="B13" s="4" t="n">
        <v>38936</v>
      </c>
      <c r="C13" s="4" t="n">
        <v>1882</v>
      </c>
      <c r="D13" s="4" t="n">
        <v>10850</v>
      </c>
      <c r="E13" s="4" t="n">
        <v>18793</v>
      </c>
    </row>
    <row r="14">
      <c r="A14" s="4" t="inlineStr">
        <is>
          <t>quadient.com ⚠ domaine corporate entier</t>
        </is>
      </c>
      <c r="B14" s="4" t="n">
        <v>24763</v>
      </c>
      <c r="C14" s="4" t="n">
        <v>2499</v>
      </c>
      <c r="D14" s="4" t="n">
        <v>18767</v>
      </c>
      <c r="E14" s="4" t="n">
        <v>16946</v>
      </c>
    </row>
    <row r="15">
      <c r="A15" s="4" t="inlineStr">
        <is>
          <t>ricoh.com ⚠ domaine corporate entier</t>
        </is>
      </c>
      <c r="B15" s="4" t="n">
        <v>76175</v>
      </c>
      <c r="C15" s="4" t="n">
        <v>1648</v>
      </c>
      <c r="D15" s="4" t="n">
        <v>4694</v>
      </c>
      <c r="E15" s="4" t="n">
        <v>1597</v>
      </c>
    </row>
    <row r="16">
      <c r="A16" s="4" t="inlineStr">
        <is>
          <t>pitneybowes.com ⚠ domaine corporate entier</t>
        </is>
      </c>
      <c r="B16" s="4" t="n">
        <v>41267</v>
      </c>
      <c r="C16" s="4" t="n">
        <v>589</v>
      </c>
      <c r="D16" s="4" t="n">
        <v>10082</v>
      </c>
      <c r="E16" s="4" t="n">
        <v>11971</v>
      </c>
    </row>
    <row r="17">
      <c r="A17" s="4" t="inlineStr">
        <is>
          <t>crawfordtech.com</t>
        </is>
      </c>
      <c r="B17" s="4" t="n">
        <v>1369897</v>
      </c>
      <c r="C17" s="4" t="n">
        <v>24</v>
      </c>
      <c r="D17" s="4" t="n">
        <v>39</v>
      </c>
      <c r="E17" s="4" t="n">
        <v>21</v>
      </c>
    </row>
    <row r="18">
      <c r="A18" s="4" t="inlineStr">
        <is>
          <t>formpipe.com (Lasernet)</t>
        </is>
      </c>
      <c r="B18" s="4" t="n">
        <v>4933813</v>
      </c>
      <c r="C18" s="4" t="n">
        <v>2</v>
      </c>
      <c r="D18" s="4" t="n">
        <v>0</v>
      </c>
      <c r="E18" s="4" t="n">
        <v>0</v>
      </c>
    </row>
    <row r="19">
      <c r="A19" s="4" t="inlineStr">
        <is>
          <t>objectiflune.com (Upland Objectif Lune)</t>
        </is>
      </c>
      <c r="B19" s="4" t="n">
        <v>5150220</v>
      </c>
      <c r="C19" s="4" t="n">
        <v>2</v>
      </c>
      <c r="D19" s="4" t="n">
        <v>0</v>
      </c>
      <c r="E19" s="4" t="n">
        <v>0</v>
      </c>
    </row>
    <row r="20" ht="60" customHeight="1">
      <c r="A20" s="8" t="inlineStr">
        <is>
          <t>scopiom.com n'a toujours aucun mot-clé indexé dans la base Semrush FR. Les domaines marqués ⚠ sont des domaines corporate entiers (pas une page produit Output Management dédiée) : leurs volumes sont donc largement surestimés par rapport à leur visibilité réelle sur le seul territoire Output Management — comparaison à interpréter avec prudence, cf. limite déjà notée au §4.4 CLAUDE.md pour OpenText. LRS a été requêté sur lrsoutputmanagement.com (le domaine produit VPSX réel) plutôt que lrs.com (corporate, quasiment aucune donnée FR) — à vérifier/documenter dans CLAUDE.md §4.1 si cette correction est confirmée durablement utile.</t>
        </is>
      </c>
    </row>
    <row r="22">
      <c r="A22" s="3" t="inlineStr">
        <is>
          <t>SERP en direct — mot-clé prioritaire "output management system" (base FR, requête du 20/07/2026)</t>
        </is>
      </c>
    </row>
    <row r="23">
      <c r="A23" s="3" t="inlineStr">
        <is>
          <t>Position</t>
        </is>
      </c>
      <c r="B23" s="3" t="inlineStr">
        <is>
          <t>Domaine</t>
        </is>
      </c>
      <c r="C23" s="3" t="inlineStr">
        <is>
          <t>URL</t>
        </is>
      </c>
    </row>
    <row r="24">
      <c r="A24" s="4" t="n">
        <v>1</v>
      </c>
      <c r="B24" s="4" t="inlineStr">
        <is>
          <t>sefasinnovation.fr</t>
        </is>
      </c>
      <c r="C24" s="4" t="inlineStr">
        <is>
          <t>/output-management</t>
        </is>
      </c>
    </row>
    <row r="25">
      <c r="A25" s="4" t="n">
        <v>2</v>
      </c>
      <c r="B25" s="4" t="inlineStr">
        <is>
          <t>sealsystems.fr</t>
        </is>
      </c>
      <c r="C25" s="4" t="inlineStr">
        <is>
          <t>/blog/output-management-pourquoi-les-entreprises-doivent-s-y-interesser/</t>
        </is>
      </c>
    </row>
    <row r="26">
      <c r="A26" s="4" t="n">
        <v>3</v>
      </c>
      <c r="B26" s="4" t="inlineStr">
        <is>
          <t>betasystems.com ⚠ non suivi au §4.1</t>
        </is>
      </c>
      <c r="C26" s="4" t="inlineStr">
        <is>
          <t>/resources/blog/what-is-output-management</t>
        </is>
      </c>
    </row>
    <row r="27">
      <c r="A27" s="4" t="n">
        <v>4</v>
      </c>
      <c r="B27" s="4" t="inlineStr">
        <is>
          <t>nazdaq-it.com ⚠ non suivi au §4.1</t>
        </is>
      </c>
      <c r="C27" s="4" t="inlineStr">
        <is>
          <t>/resources/blog/what-is-an-output-management-system-oms</t>
        </is>
      </c>
    </row>
    <row r="28">
      <c r="A28" s="4" t="n">
        <v>5</v>
      </c>
      <c r="B28" s="4" t="inlineStr">
        <is>
          <t>vasion.com ⚠ non suivi au §4.1</t>
        </is>
      </c>
      <c r="C28" s="4" t="inlineStr">
        <is>
          <t>/fr/blog/redefining-output-management/</t>
        </is>
      </c>
    </row>
    <row r="29">
      <c r="A29" s="4" t="n">
        <v>7</v>
      </c>
      <c r="B29" s="4" t="inlineStr">
        <is>
          <t>mpitech.com  ⚠ (MPI Tech, pas scopiom.com)</t>
        </is>
      </c>
      <c r="C29" s="4" t="inlineStr">
        <is>
          <t>/output-management-systems-guide/</t>
        </is>
      </c>
    </row>
    <row r="30">
      <c r="A30" s="4" t="n">
        <v>8</v>
      </c>
      <c r="B30" s="4" t="inlineStr">
        <is>
          <t>kwsoft.com ⚠ non suivi au §4.1</t>
        </is>
      </c>
      <c r="C30" s="4" t="inlineStr">
        <is>
          <t>/know-how/output-management/</t>
        </is>
      </c>
    </row>
    <row r="31">
      <c r="A31" s="4" t="inlineStr">
        <is>
          <t>—</t>
        </is>
      </c>
      <c r="B31" s="4" t="inlineStr">
        <is>
          <t>scopiom.com</t>
        </is>
      </c>
      <c r="C31" s="4" t="inlineStr">
        <is>
          <t>Absent du top 30</t>
        </is>
      </c>
    </row>
    <row r="32" ht="45" customHeight="1">
      <c r="A32" s="8" t="inlineStr">
        <is>
          <t>Situation inchangée depuis le rapport du 18/07/2026 : Sefas Innovation reste en position 1, SEAL Systems en position 2, MPI Tech (mpitech.com, pas scopiom.com) en position 7. Aucun mouvement de position cette semaine sur ce mot-clé prioritaire. Trois concurrents non listés au §4.1 (betasystems.com, nazdaq-it.com, vasion.com) apparaissent en positions 3-5 : à évaluer pour un éventuel ajout au panorama concurrentiel si leur présence se confirme dans la durée.</t>
        </is>
      </c>
    </row>
    <row r="34">
      <c r="A34" s="3" t="inlineStr">
        <is>
          <t>Campagne Position Tracking Semrush (CLAUDE.md §5.4) — snapshot local</t>
        </is>
      </c>
    </row>
    <row r="35" ht="30" customHeight="1">
      <c r="A35" s="4" t="inlineStr">
        <is>
          <t>Date du snapshot :</t>
        </is>
      </c>
      <c r="B35" s="11" t="inlineStr">
        <is>
          <t>18/07/2026 (2 jours avant génération du rapport — dans la limite de fraîcheur de 10 jours, mais capturé avant la fin de la semaine 13/07-19/07 : les mouvements du 19/07 ne sont pas inclus)</t>
        </is>
      </c>
    </row>
    <row r="36" ht="30" customHeight="1">
      <c r="A36" s="4" t="inlineStr">
        <is>
          <t>Mots-clés suivis :</t>
        </is>
      </c>
      <c r="B36" s="11" t="inlineStr">
        <is>
          <t>64 (⚠ CLAUDE.md §5.4 documente encore 41 — probablement des ajouts partiels de la liste proposée au §5.5, à confirmer et mettre à jour dans CLAUDE.md lors d'une prochaine session avec accès Semrush complet)</t>
        </is>
      </c>
    </row>
    <row r="37">
      <c r="A37" s="4" t="inlineStr">
        <is>
          <t>Visibilité :</t>
        </is>
      </c>
      <c r="B37" s="4" t="inlineStr">
        <is>
          <t>0,65 % (+0,50 pt vs période précédente)</t>
        </is>
      </c>
    </row>
    <row r="38">
      <c r="A38" s="4" t="inlineStr">
        <is>
          <t>Position moyenne :</t>
        </is>
      </c>
      <c r="B38" s="4" t="inlineStr">
        <is>
          <t>95,20 (amélioration de 3,36 positions)</t>
        </is>
      </c>
    </row>
    <row r="39">
      <c r="A39" s="4" t="inlineStr">
        <is>
          <t>Top 3 / Top 10 :</t>
        </is>
      </c>
      <c r="B39" s="4" t="inlineStr">
        <is>
          <t>1 mot-clé en top 3 (nouveau) / 1 mot-clé en top 10 (1 nouveau, 1 perdu — voir onglet Alertes)</t>
        </is>
      </c>
    </row>
    <row r="41">
      <c r="A41" s="3" t="inlineStr">
        <is>
          <t>Mots-clés à position mesurable (snapshot du 18/07/2026)</t>
        </is>
      </c>
    </row>
    <row r="42">
      <c r="A42" s="3" t="inlineStr">
        <is>
          <t>Mot-clé</t>
        </is>
      </c>
      <c r="B42" s="3" t="inlineStr">
        <is>
          <t>Position 13/07</t>
        </is>
      </c>
      <c r="C42" s="3" t="inlineStr">
        <is>
          <t>Position 18/07</t>
        </is>
      </c>
      <c r="D42" s="3" t="inlineStr">
        <is>
          <t>Évolution</t>
        </is>
      </c>
    </row>
    <row r="43">
      <c r="A43" s="4" t="inlineStr">
        <is>
          <t>scopiom.com (mot-clé de marque)</t>
        </is>
      </c>
      <c r="B43" s="4" t="inlineStr">
        <is>
          <t>—</t>
        </is>
      </c>
      <c r="C43" s="4" t="n">
        <v>3</v>
      </c>
      <c r="D43" s="4" t="inlineStr">
        <is>
          <t>Nouveau — requête de marque, pas un signal métier</t>
        </is>
      </c>
    </row>
    <row r="44">
      <c r="A44" s="4" t="inlineStr">
        <is>
          <t>éditeur français output management</t>
        </is>
      </c>
      <c r="B44" s="4" t="n">
        <v>24</v>
      </c>
      <c r="C44" s="4" t="n">
        <v>24</v>
      </c>
      <c r="D44" s="4" t="inlineStr">
        <is>
          <t>Stable</t>
        </is>
      </c>
    </row>
    <row r="45">
      <c r="A45" s="4" t="inlineStr">
        <is>
          <t>intégration api rest output management</t>
        </is>
      </c>
      <c r="B45" s="4" t="n">
        <v>50</v>
      </c>
      <c r="C45" s="4" t="n">
        <v>50</v>
      </c>
      <c r="D45" s="4" t="inlineStr">
        <is>
          <t>Stable</t>
        </is>
      </c>
    </row>
    <row r="46">
      <c r="A46" s="4" t="inlineStr">
        <is>
          <t>logiciel souverain output management</t>
        </is>
      </c>
      <c r="B46" s="4" t="n">
        <v>8</v>
      </c>
      <c r="C46" s="4" t="inlineStr">
        <is>
          <t>—</t>
        </is>
      </c>
      <c r="D46" s="4" t="inlineStr">
        <is>
          <t>⚠ SORTI DU TOP 10 — voir onglet Alertes</t>
        </is>
      </c>
    </row>
    <row r="47" ht="30" customHeight="1">
      <c r="A47" s="8" t="inlineStr">
        <is>
          <t>Les 60 autres mots-clés suivis (dont "output management system", le mot-clé prioritaire absolu du §3) n'ont aucune position mesurable dans le top 100 France Google au 18/07/2026 — cohérent avec l'absence de scopiom.com dans le comparatif de domaines et la SERP en direct ci-dessus.</t>
        </is>
      </c>
    </row>
    <row r="49">
      <c r="A49" s="3" t="inlineStr">
        <is>
          <t>Veille concurrentielle — blog SEAL Systems (CLAUDE.md §7)</t>
        </is>
      </c>
    </row>
    <row r="50">
      <c r="A50" s="4" t="inlineStr">
        <is>
          <t>Dernière vérification :</t>
        </is>
      </c>
      <c r="B50" s="4" t="inlineStr">
        <is>
          <t>20/07/2026</t>
        </is>
      </c>
    </row>
    <row r="51" ht="45" customHeight="1">
      <c r="A51" s="4" t="inlineStr">
        <is>
          <t>Résultat :</t>
        </is>
      </c>
      <c r="B51" s="11" t="inlineStr">
        <is>
          <t>Aucun nouvel article depuis le 13/07/2026 ("Impressions SAP : le REX d'un groupe de luxe dans l'USF Mag n°70"), reconfirmé par une nouvelle vérification directe de la page blog cette semaine. Rythme de publication d'environ 2 semaines (dernier article il y a 7 jours) : un nouvel article est plausible dans les prochains jours.</t>
        </is>
      </c>
    </row>
    <row r="53">
      <c r="A53" s="3" t="inlineStr">
        <is>
          <t>Technique (Semrush Site Audit — CLAUDE.md §2)</t>
        </is>
      </c>
    </row>
    <row r="54" ht="45" customHeight="1">
      <c r="A54" s="11" t="inlineStr">
        <is>
          <t>Dernier crawl disponible : 13/07/2026 (36 pages), aucun nouveau crawl cette semaine — projet "ScopIOM - SEO", 0 page "broken" (4xx/5xx), 0 page bloquée, errors_delta = 0 (2 erreurs persistantes = conflit schema FAQPage/Rank Math déjà connu, cf. CLAUDE.md §2). Donnée non rafraîchie cette semaine ; c'est la plus récente disponible.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10" customWidth="1" min="3" max="3"/>
  </cols>
  <sheetData>
    <row r="1">
      <c r="A1" s="1" t="inlineStr">
        <is>
          <t>ScopIOM — Rapport hebdomadaire — Alertes automatiques</t>
        </is>
      </c>
    </row>
    <row r="2">
      <c r="A2" s="2" t="inlineStr">
        <is>
          <t>Semaine du 13/07 au 19/07/2026 | Seuils définis au cahier des charges CLAUDE.md §10.1</t>
        </is>
      </c>
    </row>
    <row r="4">
      <c r="A4" s="3" t="inlineStr">
        <is>
          <t>Type d'alerte</t>
        </is>
      </c>
      <c r="B4" s="3" t="inlineStr">
        <is>
          <t>Statut</t>
        </is>
      </c>
      <c r="C4" s="3" t="inlineStr">
        <is>
          <t>Détail</t>
        </is>
      </c>
    </row>
    <row r="5" ht="75" customHeight="1">
      <c r="A5" s="11" t="inlineStr">
        <is>
          <t>Chute de trafic &gt; 15% vs semaine précédente</t>
        </is>
      </c>
      <c r="B5" s="4" t="inlineStr">
        <is>
          <t>⚠ DÉCLENCHÉE</t>
        </is>
      </c>
      <c r="C5" s="11">
        <f>"Sessions "&amp;TEXT(Trafic!D6,"+0.0%;-0.0%")&amp;", pages vues "&amp;TEXT(Trafic!D9,"+0.0%;-0.0%")&amp;", nouveaux utilisateurs "&amp;TEXT(Trafic!D8,"+0.0%;-0.0%")&amp;" vs semaine précédente — seuil de 15% franchi sur tous les indicateurs de volume. Nuance : la semaine précédente incluait un pic de trafic non qualifié (brokenlinkcheck.com, sessions Pays-Bas anormales, cf. rapport du 06/07-12/07) ; la semaine courante est plus qualifiée mais reste en retrait en valeur absolue. Voir onglet Trafic pour le détail."</f>
        <v/>
      </c>
    </row>
    <row r="6" ht="75" customHeight="1">
      <c r="A6" s="11" t="inlineStr">
        <is>
          <t>Nouvelle page en erreur 404/500</t>
        </is>
      </c>
      <c r="B6" s="4" t="inlineStr">
        <is>
          <t>Aucune détectée</t>
        </is>
      </c>
      <c r="C6" s="11" t="inlineStr">
        <is>
          <t>Semrush Site Audit : dernier crawl disponible du 13/07/2026 (projet "ScopIOM - SEO", 36 pages), aucun nouveau crawl cette semaine — 0 page "broken" (4xx/5xx), 0 page bloquée, errors_delta = 0. Donnée non rafraîchie cette semaine ; persistance du dernier état connu, pas une confirmation en temps réel.</t>
        </is>
      </c>
    </row>
    <row r="7" ht="75" customHeight="1">
      <c r="A7" s="11" t="inlineStr">
        <is>
          <t>Mot-clé prioritaire sorti du top 10</t>
        </is>
      </c>
      <c r="B7" s="4" t="inlineStr">
        <is>
          <t>⚠ DÉCLENCHÉE</t>
        </is>
      </c>
      <c r="C7" s="11" t="inlineStr">
        <is>
          <t>Le mot-clé suivi "logiciel souverain output management" (cluster conformité souveraineté, campagne Position Tracking Semrush) est passé de la position 8 (top 10, relevé du 13/07/2026) à hors classement (relevé du 18/07/2026), dans la fenêtre de la semaine en cours. Le mot-clé prioritaire absolu "output management system" (§3) n'a lui jamais été dans le top 10 (non applicable, situation inchangée). Voir onglet Concurrence pour le détail complet de la campagne.</t>
        </is>
      </c>
    </row>
    <row r="8" ht="75" customHeight="1">
      <c r="A8" s="11" t="inlineStr">
        <is>
          <t>Qualité du trafic (hors seuils standards du cahier des charges)</t>
        </is>
      </c>
      <c r="B8" s="4" t="inlineStr">
        <is>
          <t>À surveiller</t>
        </is>
      </c>
      <c r="C8" s="11" t="inlineStr">
        <is>
          <t>8 des 52 sessions de la semaine (≈15%) proviennent du site de staging interne (stg-scopiom-staging.kinsta.cloud), trafic de recette à exclure de l'audience réelle. À l'inverse des semaines précédentes, aucun signal de trafic non qualifié externe identifié cette semaine (pas de brokenlinkcheck.com, pas de pic pays inexpliqué).</t>
        </is>
      </c>
    </row>
    <row r="9" ht="75" customHeight="1">
      <c r="A9" s="11" t="inlineStr">
        <is>
          <t>Snapshot Position Tracking utilisé pour ce rapport</t>
        </is>
      </c>
      <c r="B9" s="4" t="inlineStr">
        <is>
          <t>Information</t>
        </is>
      </c>
      <c r="C9" s="11" t="inlineStr">
        <is>
          <t>Snapshot du 18/07/2026 (data/position-tracking-latest.json), soit 2 jours avant la génération du rapport — dans la limite de fraîcheur de 10 jours fixée au cahier des charges, mais capturé avant la fin de la semaine calendaire (13/07-19/07) : les évolutions du 19/07 ne sont pas incluses. Écart entre le nombre de mots-clés suivis dans le snapshot (64) et celui documenté au CLAUDE.md §5.4 (41) à vérifier/mettre à jour lors d'une prochaine session avec accès Semrush interactif.</t>
        </is>
      </c>
    </row>
    <row r="10" ht="75" customHeight="1">
      <c r="A10" s="11" t="inlineStr">
        <is>
          <t>Changement de position SERP "output management system"</t>
        </is>
      </c>
      <c r="B10" s="4" t="inlineStr">
        <is>
          <t>Aucun changement cette semaine</t>
        </is>
      </c>
      <c r="C10" s="11" t="inlineStr">
        <is>
          <t>Sefas Innovation reste en position 1, SEAL Systems en position 2 (base FR) — situation inchangée depuis le rapport du 18/07/2026. MPI Tech (mpitech.com, pas scopiom.com) reste en position 7. Voir onglet Concurrence.</t>
        </is>
      </c>
    </row>
    <row r="11" ht="75" customHeight="1">
      <c r="A11" s="11" t="inlineStr">
        <is>
          <t>Veille SEAL Systems (blog)</t>
        </is>
      </c>
      <c r="B11" s="4" t="inlineStr">
        <is>
          <t>Aucun nouvel article</t>
        </is>
      </c>
      <c r="C11" s="11" t="inlineStr">
        <is>
          <t>Revérifié le 20/07/2026 : aucun article publié depuis le 13/07/2026 (dernier connu). Voir onglet Concurrence pour le détail.</t>
        </is>
      </c>
    </row>
    <row r="12" ht="75" customHeight="1">
      <c r="A12" s="11" t="inlineStr">
        <is>
          <t>Correction CLAUDE.md — domaine Sefas</t>
        </is>
      </c>
      <c r="B12" s="4" t="inlineStr">
        <is>
          <t>Effectuée</t>
        </is>
      </c>
      <c r="C12" s="11" t="inlineStr">
        <is>
          <t>CLAUDE.md §4.1 précise désormais explicitement d'utiliser sefasinnovation.fr pour tout suivi Semrush de Sefas (pas sefas.com, quasi inactif, ni sefas.co.uk, domaine reconverti sans rapport avec l'éditeur) — corrigé le 20/07/2026, cf. instruction de génération de ce rapport.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2026-07-20T06:17:50Z</dcterms:created>
  <dcterms:modified xsi:type="dcterms:W3CDTF">2026-07-20T06:17:50Z</dcterms:modified>
</cp:coreProperties>
</file>